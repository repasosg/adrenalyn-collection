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LO QUE ME FALTA" sheetId="2" r:id="rId6"/>
    <sheet state="visible" name="REPETIDOS" sheetId="3" r:id="rId7"/>
    <sheet state="visible" name="REGULARES" sheetId="4" r:id="rId8"/>
    <sheet state="visible" name="Estadios" sheetId="5" r:id="rId9"/>
    <sheet state="visible" name="¡VAMOS! (361–380)" sheetId="6" r:id="rId10"/>
    <sheet state="visible" name="Guantes de Oro (381–387)" sheetId="7" r:id="rId11"/>
    <sheet state="visible" name="Kryptonita (388–396)" sheetId="8" r:id="rId12"/>
    <sheet state="visible" name="Diamantes (397–414)" sheetId="9" r:id="rId13"/>
    <sheet state="visible" name="Influencers (415–423)" sheetId="10" r:id="rId14"/>
    <sheet state="visible" name="Protas (424–441)" sheetId="11" r:id="rId15"/>
    <sheet state="visible" name="Cartas Top y Únicas (468–478)" sheetId="12" r:id="rId16"/>
    <sheet state="visible" name="Super Cracks (442–467)" sheetId="13" r:id="rId17"/>
  </sheets>
  <definedNames/>
  <calcPr/>
</workbook>
</file>

<file path=xl/sharedStrings.xml><?xml version="1.0" encoding="utf-8"?>
<sst xmlns="http://schemas.openxmlformats.org/spreadsheetml/2006/main" count="1279" uniqueCount="400">
  <si>
    <t>Última actualización:</t>
  </si>
  <si>
    <t>Categoría</t>
  </si>
  <si>
    <t>Total</t>
  </si>
  <si>
    <t>Tengo</t>
  </si>
  <si>
    <t>Faltan</t>
  </si>
  <si>
    <t>Progreso</t>
  </si>
  <si>
    <t>Progreso VISUAL</t>
  </si>
  <si>
    <t>REGULARES</t>
  </si>
  <si>
    <t>ESTADIOS</t>
  </si>
  <si>
    <t>VAMOS</t>
  </si>
  <si>
    <t>Guantes de Oro</t>
  </si>
  <si>
    <t>Kryptonita</t>
  </si>
  <si>
    <t>Diamantes</t>
  </si>
  <si>
    <t>Influencers</t>
  </si>
  <si>
    <t>Protas</t>
  </si>
  <si>
    <t>Super Cracks</t>
  </si>
  <si>
    <t>CARTAS TOP</t>
  </si>
  <si>
    <t>TOTAL COLECCIÓN</t>
  </si>
  <si>
    <t>ESCUDO</t>
  </si>
  <si>
    <t>D. ALAVÉS</t>
  </si>
  <si>
    <t>SI</t>
  </si>
  <si>
    <t>SIVERA</t>
  </si>
  <si>
    <t>RAÚL FERNÁNDEZ</t>
  </si>
  <si>
    <t>JONNY</t>
  </si>
  <si>
    <t>TENAGLIA</t>
  </si>
  <si>
    <t>PACHECO</t>
  </si>
  <si>
    <t>PARADA</t>
  </si>
  <si>
    <t>MOUSSA DIARRA</t>
  </si>
  <si>
    <t>BLANCO</t>
  </si>
  <si>
    <t>GUEVARA</t>
  </si>
  <si>
    <t>GURIDI</t>
  </si>
  <si>
    <t>ALEÑÁ</t>
  </si>
  <si>
    <t>PABLO IBÁÑEZ</t>
  </si>
  <si>
    <t>DENIS SUÁREZ</t>
  </si>
  <si>
    <t>CARLOS VICENTE</t>
  </si>
  <si>
    <t>TONI MARTÍNEZ</t>
  </si>
  <si>
    <t>BOYÉ</t>
  </si>
  <si>
    <t>MARIANO</t>
  </si>
  <si>
    <t>ATHLETIC CLUB</t>
  </si>
  <si>
    <t>UNAI SIMÓN</t>
  </si>
  <si>
    <t>PADILLA</t>
  </si>
  <si>
    <t>ARESO</t>
  </si>
  <si>
    <t>VIVIAN</t>
  </si>
  <si>
    <t>PAREDES</t>
  </si>
  <si>
    <t>LAPORTE</t>
  </si>
  <si>
    <t>YURI</t>
  </si>
  <si>
    <t>RUIZ DE GALARRETA</t>
  </si>
  <si>
    <t>JAUREGIZAR</t>
  </si>
  <si>
    <t>VESGA</t>
  </si>
  <si>
    <t>UNAI GÓMEZ</t>
  </si>
  <si>
    <t>SANCET</t>
  </si>
  <si>
    <t>BERENGUER</t>
  </si>
  <si>
    <t>WILLIAMS</t>
  </si>
  <si>
    <t>MAROAN</t>
  </si>
  <si>
    <t>GURUZETA</t>
  </si>
  <si>
    <t>NICO WILLIAMS</t>
  </si>
  <si>
    <t>ATLÉTICO DE MADRID</t>
  </si>
  <si>
    <t>OBLAK</t>
  </si>
  <si>
    <t>MUSSO</t>
  </si>
  <si>
    <t>MARCOS LLORENTE</t>
  </si>
  <si>
    <t>LE NORMAND</t>
  </si>
  <si>
    <t>LENGLET</t>
  </si>
  <si>
    <t>HANCKO</t>
  </si>
  <si>
    <t>RUGGERI</t>
  </si>
  <si>
    <t>KOKE</t>
  </si>
  <si>
    <t>BARRIOS</t>
  </si>
  <si>
    <t>GALLAGHER</t>
  </si>
  <si>
    <t>ALEX BAENA</t>
  </si>
  <si>
    <t>ALMADA</t>
  </si>
  <si>
    <t>NICO GONZÁLEZ</t>
  </si>
  <si>
    <t>GIULIANO</t>
  </si>
  <si>
    <t>JULIÁN ALVAREZ</t>
  </si>
  <si>
    <t>SORLOTH</t>
  </si>
  <si>
    <t>GRIEZMANN</t>
  </si>
  <si>
    <t>FC BARCELONA</t>
  </si>
  <si>
    <t>JOAN GARCÍA</t>
  </si>
  <si>
    <t>SZCZESNY</t>
  </si>
  <si>
    <t>KOUNDÉ</t>
  </si>
  <si>
    <t>CUBARSÍ</t>
  </si>
  <si>
    <t>ERIC GARCÍA</t>
  </si>
  <si>
    <t>ARAÚJO</t>
  </si>
  <si>
    <t>BALDE</t>
  </si>
  <si>
    <t>DE JONG</t>
  </si>
  <si>
    <t>GAVI</t>
  </si>
  <si>
    <t>PEDRI</t>
  </si>
  <si>
    <t>FERMÍN</t>
  </si>
  <si>
    <t>DANI OLMO</t>
  </si>
  <si>
    <t>RAPHINHA</t>
  </si>
  <si>
    <t>LAMINE YAMAL</t>
  </si>
  <si>
    <t>FERRAN TORRES</t>
  </si>
  <si>
    <t>LEWANDOWSKI</t>
  </si>
  <si>
    <t>RASHFORD</t>
  </si>
  <si>
    <t>REAL BETIS</t>
  </si>
  <si>
    <t>PAU LÓPEZ</t>
  </si>
  <si>
    <t>VALLES</t>
  </si>
  <si>
    <t>BELLERÍN</t>
  </si>
  <si>
    <t>BARTRA</t>
  </si>
  <si>
    <t>DIEGO LLORENTE</t>
  </si>
  <si>
    <t>NATAN</t>
  </si>
  <si>
    <t>VALENTÍN GÓMEZ</t>
  </si>
  <si>
    <t>JUNIOR</t>
  </si>
  <si>
    <t>ALTIMIRA</t>
  </si>
  <si>
    <t>AMRABAT</t>
  </si>
  <si>
    <t>PABLO FORNALS</t>
  </si>
  <si>
    <t>LO CELSO</t>
  </si>
  <si>
    <t>ISCO</t>
  </si>
  <si>
    <t>ANTONY</t>
  </si>
  <si>
    <t>CUCHO HERNÁNDEZ</t>
  </si>
  <si>
    <t>RIQUELME</t>
  </si>
  <si>
    <t>ABDE</t>
  </si>
  <si>
    <t>RC CELTA</t>
  </si>
  <si>
    <t>RADU</t>
  </si>
  <si>
    <t>IVÁN VILLAR</t>
  </si>
  <si>
    <t>JAVI RUEDA</t>
  </si>
  <si>
    <t>JAVI RODRÍGUEZ</t>
  </si>
  <si>
    <t>STARFELT</t>
  </si>
  <si>
    <t>MARCOS ALONSO</t>
  </si>
  <si>
    <t>MINGUEZA</t>
  </si>
  <si>
    <t>CARREIRA</t>
  </si>
  <si>
    <t>ILAIX MORIBA</t>
  </si>
  <si>
    <t>FRAN BELTRÁN</t>
  </si>
  <si>
    <t>SOTELO</t>
  </si>
  <si>
    <t>HUGO ÁLVAREZ</t>
  </si>
  <si>
    <t>SWEDBERG</t>
  </si>
  <si>
    <t>BRYAN ZARAGOZA</t>
  </si>
  <si>
    <t>IAGO ASPAS</t>
  </si>
  <si>
    <t>BORJA IGLESIAS</t>
  </si>
  <si>
    <t>JUTGLÀ</t>
  </si>
  <si>
    <t>ELCHE CF</t>
  </si>
  <si>
    <t>IÑAKI PEÑA</t>
  </si>
  <si>
    <t>DITURO</t>
  </si>
  <si>
    <t>ÁLVARO NÚÑEZ</t>
  </si>
  <si>
    <t>CHUST</t>
  </si>
  <si>
    <t>BIGAS</t>
  </si>
  <si>
    <t>AFFENGRUBER</t>
  </si>
  <si>
    <t>PEDROSA</t>
  </si>
  <si>
    <t>FEDE REDONDO</t>
  </si>
  <si>
    <t>GERMÁN VALERA</t>
  </si>
  <si>
    <t>MARTIM NETO</t>
  </si>
  <si>
    <t>FEBAS</t>
  </si>
  <si>
    <t>MARC AGUADO</t>
  </si>
  <si>
    <t>RODRI MENDOZA</t>
  </si>
  <si>
    <t>JOSAN</t>
  </si>
  <si>
    <t>ÁLVARO RODRÍGUEZ</t>
  </si>
  <si>
    <t>ANDRÉ SILVA</t>
  </si>
  <si>
    <t>RAFA MIR</t>
  </si>
  <si>
    <t>RCD ESPANYOL</t>
  </si>
  <si>
    <t>DMITROVIC</t>
  </si>
  <si>
    <t>FORTUÑO</t>
  </si>
  <si>
    <t>EL HILALI</t>
  </si>
  <si>
    <t>CALERO</t>
  </si>
  <si>
    <t>RIEDEL</t>
  </si>
  <si>
    <t>CABRERA</t>
  </si>
  <si>
    <t>CARLOS ROMERO</t>
  </si>
  <si>
    <t>POL LOZANO</t>
  </si>
  <si>
    <t>URKO</t>
  </si>
  <si>
    <t>EDU EXPÓSITO</t>
  </si>
  <si>
    <t>TERRATS</t>
  </si>
  <si>
    <t>ANTONIU ROCA</t>
  </si>
  <si>
    <t>DOLAN</t>
  </si>
  <si>
    <t>ROBERTO FERNÁNDEZ</t>
  </si>
  <si>
    <t>KIKE GARCÍA</t>
  </si>
  <si>
    <t>PUADO</t>
  </si>
  <si>
    <t>PERE MILLA</t>
  </si>
  <si>
    <t>GETAFE CF</t>
  </si>
  <si>
    <t>DAVID SORIA</t>
  </si>
  <si>
    <t>LETACEK</t>
  </si>
  <si>
    <t>IGLESIAS</t>
  </si>
  <si>
    <t>KIKO FEMENÍA</t>
  </si>
  <si>
    <t>DJENÉ</t>
  </si>
  <si>
    <t>DOMINGOS DUARTE</t>
  </si>
  <si>
    <t>ABQAR</t>
  </si>
  <si>
    <t>DIEGO RICO</t>
  </si>
  <si>
    <t>DAVINCHI</t>
  </si>
  <si>
    <t>MARIO MARTÍN</t>
  </si>
  <si>
    <t>ARAMBARRI</t>
  </si>
  <si>
    <t>MILLA</t>
  </si>
  <si>
    <t>NEYOU</t>
  </si>
  <si>
    <t>JAVI MUÑOZ</t>
  </si>
  <si>
    <t>BORJA MAYORAL</t>
  </si>
  <si>
    <t>LISO</t>
  </si>
  <si>
    <t>COBA</t>
  </si>
  <si>
    <t>GIRONA FC</t>
  </si>
  <si>
    <t>GAZZANIGA</t>
  </si>
  <si>
    <t>LIVAKOVIC</t>
  </si>
  <si>
    <t>ARNAU</t>
  </si>
  <si>
    <t>HUGO RINCÓN</t>
  </si>
  <si>
    <t>VITOR REIS</t>
  </si>
  <si>
    <t>BLIND</t>
  </si>
  <si>
    <t>FRANCÉS</t>
  </si>
  <si>
    <t>ÁLEX MORENO</t>
  </si>
  <si>
    <t>WITSEL</t>
  </si>
  <si>
    <t>OUNAHI</t>
  </si>
  <si>
    <t>IVÁN MARTÍN</t>
  </si>
  <si>
    <t>YÁSER ASPRILLA</t>
  </si>
  <si>
    <t>JOEL ROCA</t>
  </si>
  <si>
    <t>TSYGANKOV</t>
  </si>
  <si>
    <t>VANAT</t>
  </si>
  <si>
    <t>STUANI</t>
  </si>
  <si>
    <t>BRYAN GIL</t>
  </si>
  <si>
    <t>LEVANTE UD</t>
  </si>
  <si>
    <t>RYAN</t>
  </si>
  <si>
    <t>PABLO CAMPOS</t>
  </si>
  <si>
    <t>TOLJAN</t>
  </si>
  <si>
    <t>DELA</t>
  </si>
  <si>
    <t>ELGEZABAL</t>
  </si>
  <si>
    <t>MATÍAS MORENO</t>
  </si>
  <si>
    <t>MANU SÁNCHEZ</t>
  </si>
  <si>
    <t>PAMPÍN</t>
  </si>
  <si>
    <t>ORIOL REY</t>
  </si>
  <si>
    <t>PABLO MARTÍNEZ</t>
  </si>
  <si>
    <t>OLASAGASTI</t>
  </si>
  <si>
    <t>VENCEDOR</t>
  </si>
  <si>
    <t>CARLOS ÁLVAREZ</t>
  </si>
  <si>
    <t>MORALES</t>
  </si>
  <si>
    <t>BRUGUÉ</t>
  </si>
  <si>
    <t>IVÁN ROMERO</t>
  </si>
  <si>
    <t>ETTA EYONG</t>
  </si>
  <si>
    <t>REAL MADRID</t>
  </si>
  <si>
    <t>COURTOIS</t>
  </si>
  <si>
    <t>LUNIN</t>
  </si>
  <si>
    <t>CARVAJAL</t>
  </si>
  <si>
    <t>TRENT</t>
  </si>
  <si>
    <t>MILITAO</t>
  </si>
  <si>
    <t>HUIJSEN</t>
  </si>
  <si>
    <t>RÜDIGER</t>
  </si>
  <si>
    <t>CARRERAS</t>
  </si>
  <si>
    <t>TCHOUAMÉNI</t>
  </si>
  <si>
    <t>FEDE VALVERDE</t>
  </si>
  <si>
    <t>BELLINGHAM</t>
  </si>
  <si>
    <t>GÜLER</t>
  </si>
  <si>
    <t>MASTANTUONO</t>
  </si>
  <si>
    <t>RODRYGO</t>
  </si>
  <si>
    <t>MBAPPÉ</t>
  </si>
  <si>
    <t>GONZALO</t>
  </si>
  <si>
    <t>VINÍCIUS</t>
  </si>
  <si>
    <t>RCD MALLORCA</t>
  </si>
  <si>
    <t>LEO ROMÁN</t>
  </si>
  <si>
    <t>BERGSTRÖM</t>
  </si>
  <si>
    <t>MOREY</t>
  </si>
  <si>
    <t>MAFFEO</t>
  </si>
  <si>
    <t>VALJENT</t>
  </si>
  <si>
    <t>RAILLO</t>
  </si>
  <si>
    <t>KUMBULLA</t>
  </si>
  <si>
    <t>MOJICA</t>
  </si>
  <si>
    <t>SAMÚ COSTA</t>
  </si>
  <si>
    <t>ANTONIO SÁNCHEZ</t>
  </si>
  <si>
    <t>DARDER</t>
  </si>
  <si>
    <t>MORLANES</t>
  </si>
  <si>
    <t>PABLO TORRE</t>
  </si>
  <si>
    <t>ASANO</t>
  </si>
  <si>
    <t>MURIQI</t>
  </si>
  <si>
    <t>MATEO JOSEPH</t>
  </si>
  <si>
    <t>JAN VIRGILI</t>
  </si>
  <si>
    <t>CA OSASUNA</t>
  </si>
  <si>
    <t>SERGIO HERRERA</t>
  </si>
  <si>
    <t>AITOR FERNÁNDEZ</t>
  </si>
  <si>
    <t>ROSIER</t>
  </si>
  <si>
    <t>BOYOMO</t>
  </si>
  <si>
    <t>CATENA</t>
  </si>
  <si>
    <t>HERRANDO</t>
  </si>
  <si>
    <t>JUAN CRUZ</t>
  </si>
  <si>
    <t>ABEL BRETONES</t>
  </si>
  <si>
    <t>TORRÓ</t>
  </si>
  <si>
    <t>MONCAYOLA</t>
  </si>
  <si>
    <t>MOI GÓMEZ</t>
  </si>
  <si>
    <t>RUBÉN GARCÍA</t>
  </si>
  <si>
    <t>AIMAR OROZ</t>
  </si>
  <si>
    <t>VÍCTOR MUÑOZ</t>
  </si>
  <si>
    <t>RAÚL GARCÍA</t>
  </si>
  <si>
    <t>BUDIMIR</t>
  </si>
  <si>
    <t>BECKER</t>
  </si>
  <si>
    <t>REAL OVIEDO</t>
  </si>
  <si>
    <t>AARON ESCANDELL</t>
  </si>
  <si>
    <t>MOLDOVAN</t>
  </si>
  <si>
    <t>NACHO VIDAL</t>
  </si>
  <si>
    <t>ERIC BAILLY</t>
  </si>
  <si>
    <t>DAVID CARMO</t>
  </si>
  <si>
    <t>DANI CALVO</t>
  </si>
  <si>
    <t>RAHIM ALHASSANE</t>
  </si>
  <si>
    <t>COLOMBATTO</t>
  </si>
  <si>
    <t>REINA</t>
  </si>
  <si>
    <t>DENDONCKER</t>
  </si>
  <si>
    <t>CAZORLA</t>
  </si>
  <si>
    <t>ILIC</t>
  </si>
  <si>
    <t>HASSAN</t>
  </si>
  <si>
    <t>BREKALO</t>
  </si>
  <si>
    <t>ILYAS CHAIRA</t>
  </si>
  <si>
    <t>FEDE VIÑAS</t>
  </si>
  <si>
    <t>RONDON</t>
  </si>
  <si>
    <t>RAYO VALLECANO</t>
  </si>
  <si>
    <t>BATALLA</t>
  </si>
  <si>
    <t>CÁRDENAS</t>
  </si>
  <si>
    <t>RATIU</t>
  </si>
  <si>
    <t>BALLIU</t>
  </si>
  <si>
    <t>LEJEUNE</t>
  </si>
  <si>
    <t>LUIZ FELIPE</t>
  </si>
  <si>
    <t>PEP CHAVARRÍA</t>
  </si>
  <si>
    <t>PATHÉ CISS</t>
  </si>
  <si>
    <t>UNAI LOPEZ</t>
  </si>
  <si>
    <t>ÓSCAR VALENTÍN</t>
  </si>
  <si>
    <t>ISI</t>
  </si>
  <si>
    <t>PEDRO DÍAZ</t>
  </si>
  <si>
    <t>ÁLVARO GARCÍA</t>
  </si>
  <si>
    <t>FRAN PÉREZ</t>
  </si>
  <si>
    <t>CAMELLO</t>
  </si>
  <si>
    <t>DE FRUTOS</t>
  </si>
  <si>
    <t>ALEMAO</t>
  </si>
  <si>
    <t>REAL SOCIEDAD</t>
  </si>
  <si>
    <t>REMIRO</t>
  </si>
  <si>
    <t>MARRERO</t>
  </si>
  <si>
    <t>ARAMBURU</t>
  </si>
  <si>
    <t>ARITZ ELUSTONDO</t>
  </si>
  <si>
    <t>ZUBELDIA</t>
  </si>
  <si>
    <t>CALETA-CAR</t>
  </si>
  <si>
    <t>SERGIO GÓMEZ</t>
  </si>
  <si>
    <t>GORROTXATEGI</t>
  </si>
  <si>
    <t>TURRIENTES</t>
  </si>
  <si>
    <t>PABLO MARIN</t>
  </si>
  <si>
    <t>CARLOS SOLER</t>
  </si>
  <si>
    <t>BRAIS MÉNDEZ</t>
  </si>
  <si>
    <t>KUBO</t>
  </si>
  <si>
    <t>BARRENETXEA</t>
  </si>
  <si>
    <t>OYARZABAL</t>
  </si>
  <si>
    <t>ÓSKARSSON</t>
  </si>
  <si>
    <t>GUEDES</t>
  </si>
  <si>
    <t>SEVILLA FC</t>
  </si>
  <si>
    <t>VLACHODIMOS</t>
  </si>
  <si>
    <t>NYLAND</t>
  </si>
  <si>
    <t>CARMONA</t>
  </si>
  <si>
    <t>JUANLU</t>
  </si>
  <si>
    <t>AZPILICUETA</t>
  </si>
  <si>
    <t>KIKE SALAS</t>
  </si>
  <si>
    <t>MARCAO</t>
  </si>
  <si>
    <t>SUAZO</t>
  </si>
  <si>
    <t>GUDELJ</t>
  </si>
  <si>
    <t>AGOUME</t>
  </si>
  <si>
    <t>SOW</t>
  </si>
  <si>
    <t>BATISTA MENDY</t>
  </si>
  <si>
    <t>VARGAS</t>
  </si>
  <si>
    <t>EJUKE</t>
  </si>
  <si>
    <t>ISAAC ROMERO</t>
  </si>
  <si>
    <t>AKOR ADAMS</t>
  </si>
  <si>
    <t>ALEXIS SÁNCHEZ</t>
  </si>
  <si>
    <t>VALENCIA CF</t>
  </si>
  <si>
    <t>AGIRREZABALA</t>
  </si>
  <si>
    <t>DIMITRIEVSKI</t>
  </si>
  <si>
    <t>FOULQUIER</t>
  </si>
  <si>
    <t>CORREIA</t>
  </si>
  <si>
    <t>TÁRREGA</t>
  </si>
  <si>
    <t>COPETE</t>
  </si>
  <si>
    <t>DIAKHABY</t>
  </si>
  <si>
    <t>GAYÀ</t>
  </si>
  <si>
    <t>PEPELU</t>
  </si>
  <si>
    <t>SANTAMARÍA</t>
  </si>
  <si>
    <t>JAVI GUERRA</t>
  </si>
  <si>
    <t>ANDRÉ ALMEIDA</t>
  </si>
  <si>
    <t>LUIS RIOJA</t>
  </si>
  <si>
    <t>DIEGO LÓPEZ</t>
  </si>
  <si>
    <t>RAMAZANI</t>
  </si>
  <si>
    <t>DANJUMA</t>
  </si>
  <si>
    <t>HUGO DURO</t>
  </si>
  <si>
    <t>VILLARREAL CF</t>
  </si>
  <si>
    <t>LUIZ JÚNIOR</t>
  </si>
  <si>
    <t>ARNAU TENAS</t>
  </si>
  <si>
    <t>MOURIÑO</t>
  </si>
  <si>
    <t>FOYTH</t>
  </si>
  <si>
    <t>RAFA MARÍN</t>
  </si>
  <si>
    <t>RENATO VEIGA</t>
  </si>
  <si>
    <t>SERGI CARDONA</t>
  </si>
  <si>
    <t>SANTI COMESAÑA</t>
  </si>
  <si>
    <t>PAPE GUEYE</t>
  </si>
  <si>
    <t>PAREJO</t>
  </si>
  <si>
    <t>THOMAS</t>
  </si>
  <si>
    <t>MOLEIRO</t>
  </si>
  <si>
    <t>BUCHANAN</t>
  </si>
  <si>
    <t>MIKAUTADZE</t>
  </si>
  <si>
    <t>PÉPÉ</t>
  </si>
  <si>
    <t>OLUWASEYI</t>
  </si>
  <si>
    <t>AYOZE</t>
  </si>
  <si>
    <t>ESTADIO</t>
  </si>
  <si>
    <t>¡VAMOS!</t>
  </si>
  <si>
    <t>REGO</t>
  </si>
  <si>
    <t>DRO</t>
  </si>
  <si>
    <t>PABLO GARCÍA</t>
  </si>
  <si>
    <t>FRAN GONZÁLEZ</t>
  </si>
  <si>
    <t>si</t>
  </si>
  <si>
    <t>UNAI LÓPEZ</t>
  </si>
  <si>
    <t>CARD CHAMPIONS</t>
  </si>
  <si>
    <t>ÚNICA</t>
  </si>
  <si>
    <t>BALÓN DE ORO (ATHLETIC)</t>
  </si>
  <si>
    <t>JULIÁN ÁLVAREZ</t>
  </si>
  <si>
    <t>BALÓN DE ORO (ATLÉTICO)</t>
  </si>
  <si>
    <t>BALÓN DE ORO (BARÇA)</t>
  </si>
  <si>
    <t>BALÓN DE ORO (REAL MADRID)</t>
  </si>
  <si>
    <t>BALÓN DE ORO EXCELLENCE</t>
  </si>
  <si>
    <t>CARD ATÓMICA</t>
  </si>
  <si>
    <t>CARD INVENCIBLE</t>
  </si>
  <si>
    <t>CAMPEÓN CARD</t>
  </si>
  <si>
    <t>ÁLEX BAENA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</si>
</sst>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color rgb="FF444746"/>
      <name val="&quot;Google Sans Text&quot;"/>
    </font>
    <font>
      <b/>
      <color theme="1"/>
      <name val="&quot;Google Sans Text&quot;"/>
    </font>
    <font>
      <color theme="1"/>
      <name val="&quot;Google Sans Text&quot;"/>
    </font>
    <font>
      <b/>
      <sz val="12.0"/>
      <color rgb="FF1F1F1F"/>
      <name val="&quot;Google Sans Text&quot;"/>
    </font>
    <font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1CCDC"/>
        <bgColor rgb="FF41CCDC"/>
      </patternFill>
    </fill>
    <fill>
      <patternFill patternType="solid">
        <fgColor rgb="FFEBAA69"/>
        <bgColor rgb="FFEBAA69"/>
      </patternFill>
    </fill>
  </fills>
  <borders count="10">
    <border/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4" xfId="0" applyAlignment="1" applyFont="1" applyNumberFormat="1">
      <alignment horizontal="center" readingOrder="0"/>
    </xf>
    <xf borderId="0" fillId="2" fontId="2" numFmtId="0" xfId="0" applyFont="1"/>
    <xf borderId="1" fillId="3" fontId="1" numFmtId="0" xfId="0" applyAlignment="1" applyBorder="1" applyFill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3" fillId="3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5" fillId="0" fontId="5" numFmtId="0" xfId="0" applyBorder="1" applyFont="1"/>
    <xf borderId="5" fillId="0" fontId="2" numFmtId="10" xfId="0" applyBorder="1" applyFont="1" applyNumberFormat="1"/>
    <xf borderId="6" fillId="0" fontId="2" numFmtId="0" xfId="0" applyBorder="1" applyFont="1"/>
    <xf borderId="4" fillId="0" fontId="6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5" fillId="0" fontId="7" numFmtId="0" xfId="0" applyBorder="1" applyFont="1"/>
    <xf borderId="5" fillId="0" fontId="2" numFmtId="0" xfId="0" applyBorder="1" applyFont="1"/>
    <xf borderId="7" fillId="4" fontId="8" numFmtId="0" xfId="0" applyAlignment="1" applyBorder="1" applyFill="1" applyFont="1">
      <alignment readingOrder="0"/>
    </xf>
    <xf borderId="8" fillId="4" fontId="8" numFmtId="0" xfId="0" applyAlignment="1" applyBorder="1" applyFont="1">
      <alignment readingOrder="0"/>
    </xf>
    <xf borderId="8" fillId="4" fontId="9" numFmtId="10" xfId="0" applyBorder="1" applyFont="1" applyNumberFormat="1"/>
    <xf borderId="9" fillId="0" fontId="2" numFmtId="0" xfId="0" applyBorder="1" applyFont="1"/>
    <xf borderId="0" fillId="0" fontId="2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83E880"/>
          <bgColor rgb="FF83E88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14.13"/>
    <col customWidth="1" min="5" max="5" width="14.63"/>
    <col customWidth="1" min="6" max="6" width="38.38"/>
  </cols>
  <sheetData>
    <row r="1">
      <c r="A1" s="1" t="s">
        <v>0</v>
      </c>
      <c r="B1" s="2">
        <f>TODAY()</f>
        <v>46049</v>
      </c>
      <c r="C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</row>
    <row r="3">
      <c r="A3" s="7" t="s">
        <v>7</v>
      </c>
      <c r="B3" s="8">
        <v>360.0</v>
      </c>
      <c r="C3" s="9">
        <f>COUNTIF(REGULARES!D:D, "SI")</f>
        <v>197</v>
      </c>
      <c r="D3" s="9">
        <f t="shared" ref="D3:D12" si="1">B3-C3</f>
        <v>163</v>
      </c>
      <c r="E3" s="10">
        <f t="shared" ref="E3:E4" si="2">(C3/B3)</f>
        <v>0.5472222222</v>
      </c>
      <c r="F3" s="11" t="str">
        <f>IFERROR(__xludf.DUMMYFUNCTION("SPARKLINE(E3, {""charttype"",""bar""; ""max"",1; ""color1"",""green""; ""empty"",""ignore""})"),"")</f>
        <v/>
      </c>
    </row>
    <row r="4">
      <c r="A4" s="7" t="s">
        <v>8</v>
      </c>
      <c r="B4" s="8">
        <v>20.0</v>
      </c>
      <c r="C4" s="9">
        <f>COUNTIF(Estadios!D:D, "SI")</f>
        <v>14</v>
      </c>
      <c r="D4" s="9">
        <f t="shared" si="1"/>
        <v>6</v>
      </c>
      <c r="E4" s="10">
        <f t="shared" si="2"/>
        <v>0.7</v>
      </c>
      <c r="F4" s="11"/>
    </row>
    <row r="5">
      <c r="A5" s="7" t="s">
        <v>9</v>
      </c>
      <c r="B5" s="8">
        <v>20.0</v>
      </c>
      <c r="C5" s="9">
        <f>COUNTIF('¡VAMOS! (361–380)'!D:D, "SI")</f>
        <v>8</v>
      </c>
      <c r="D5" s="9">
        <f t="shared" si="1"/>
        <v>12</v>
      </c>
      <c r="E5" s="10">
        <f t="shared" ref="E5:E13" si="3">C5/B5</f>
        <v>0.4</v>
      </c>
      <c r="F5" s="11" t="str">
        <f>IFERROR(__xludf.DUMMYFUNCTION("SPARKLINE(E5, {""charttype"",""bar""; ""max"",1; ""color1"",""green""; ""empty"",""ignore""})"),"")</f>
        <v/>
      </c>
    </row>
    <row r="6">
      <c r="A6" s="12" t="s">
        <v>10</v>
      </c>
      <c r="B6" s="13">
        <v>7.0</v>
      </c>
      <c r="C6" s="14">
        <f>COUNTIF('Guantes de Oro (381–387)'!D:D, "SI")</f>
        <v>2</v>
      </c>
      <c r="D6" s="15">
        <f t="shared" si="1"/>
        <v>5</v>
      </c>
      <c r="E6" s="10">
        <f t="shared" si="3"/>
        <v>0.2857142857</v>
      </c>
      <c r="F6" s="11" t="str">
        <f>IFERROR(__xludf.DUMMYFUNCTION("SPARKLINE(E6, {""charttype"",""bar""; ""max"",1; ""color1"",""green""; ""empty"",""ignore""})"),"")</f>
        <v/>
      </c>
    </row>
    <row r="7">
      <c r="A7" s="12" t="s">
        <v>11</v>
      </c>
      <c r="B7" s="13">
        <v>9.0</v>
      </c>
      <c r="C7" s="14">
        <f>COUNTIF('Kryptonita (388–396)'!D:D, "SI")</f>
        <v>3</v>
      </c>
      <c r="D7" s="15">
        <f t="shared" si="1"/>
        <v>6</v>
      </c>
      <c r="E7" s="10">
        <f t="shared" si="3"/>
        <v>0.3333333333</v>
      </c>
      <c r="F7" s="11" t="str">
        <f>IFERROR(__xludf.DUMMYFUNCTION("SPARKLINE(E7, {""charttype"",""bar""; ""max"",1; ""color1"",""green""; ""empty"",""ignore""})"),"")</f>
        <v/>
      </c>
    </row>
    <row r="8">
      <c r="A8" s="12" t="s">
        <v>12</v>
      </c>
      <c r="B8" s="13">
        <v>18.0</v>
      </c>
      <c r="C8" s="14">
        <f>COUNTIF('Diamantes (397–414)'!D:D, "SI")</f>
        <v>12</v>
      </c>
      <c r="D8" s="15">
        <f t="shared" si="1"/>
        <v>6</v>
      </c>
      <c r="E8" s="10">
        <f t="shared" si="3"/>
        <v>0.6666666667</v>
      </c>
      <c r="F8" s="11" t="str">
        <f>IFERROR(__xludf.DUMMYFUNCTION("SPARKLINE(E8, {""charttype"",""bar""; ""max"",1; ""color1"",""green""; ""empty"",""ignore""})"),"")</f>
        <v/>
      </c>
    </row>
    <row r="9">
      <c r="A9" s="12" t="s">
        <v>13</v>
      </c>
      <c r="B9" s="13">
        <v>9.0</v>
      </c>
      <c r="C9" s="14">
        <f>COUNTIF('Influencers (415–423)'!D:D, "SI")</f>
        <v>5</v>
      </c>
      <c r="D9" s="15">
        <f t="shared" si="1"/>
        <v>4</v>
      </c>
      <c r="E9" s="10">
        <f t="shared" si="3"/>
        <v>0.5555555556</v>
      </c>
      <c r="F9" s="11" t="str">
        <f>IFERROR(__xludf.DUMMYFUNCTION("SPARKLINE(E9, {""charttype"",""bar""; ""max"",1; ""color1"",""green""; ""empty"",""ignore""})"),"")</f>
        <v/>
      </c>
    </row>
    <row r="10">
      <c r="A10" s="12" t="s">
        <v>14</v>
      </c>
      <c r="B10" s="13">
        <v>18.0</v>
      </c>
      <c r="C10" s="14">
        <f>COUNTIF('Protas (424–441)'!D:D, "SI")</f>
        <v>8</v>
      </c>
      <c r="D10" s="15">
        <f t="shared" si="1"/>
        <v>10</v>
      </c>
      <c r="E10" s="10">
        <f t="shared" si="3"/>
        <v>0.4444444444</v>
      </c>
      <c r="F10" s="11" t="str">
        <f>IFERROR(__xludf.DUMMYFUNCTION("SPARKLINE(E10, {""charttype"",""bar""; ""max"",1; ""color1"",""green""; ""empty"",""ignore""})"),"")</f>
        <v/>
      </c>
    </row>
    <row r="11">
      <c r="A11" s="12" t="s">
        <v>15</v>
      </c>
      <c r="B11" s="13">
        <v>26.0</v>
      </c>
      <c r="C11" s="14">
        <f>COUNTIF('Super Cracks (442–467)'!D:D, "SI")</f>
        <v>12</v>
      </c>
      <c r="D11" s="15">
        <f t="shared" si="1"/>
        <v>14</v>
      </c>
      <c r="E11" s="10">
        <f t="shared" si="3"/>
        <v>0.4615384615</v>
      </c>
      <c r="F11" s="11" t="str">
        <f>IFERROR(__xludf.DUMMYFUNCTION("SPARKLINE(E11, {""charttype"",""bar""; ""max"",1; ""color1"",""green""; ""empty"",""ignore""})"),"")</f>
        <v/>
      </c>
    </row>
    <row r="12">
      <c r="A12" s="12" t="s">
        <v>16</v>
      </c>
      <c r="B12" s="13">
        <v>11.0</v>
      </c>
      <c r="C12" s="14">
        <f>COUNTIF('Cartas Top y Únicas (468–478)'!D:D, "SI")</f>
        <v>3</v>
      </c>
      <c r="D12" s="15">
        <f t="shared" si="1"/>
        <v>8</v>
      </c>
      <c r="E12" s="10">
        <f t="shared" si="3"/>
        <v>0.2727272727</v>
      </c>
      <c r="F12" s="11" t="str">
        <f>IFERROR(__xludf.DUMMYFUNCTION("SPARKLINE(E12, {""charttype"",""bar""; ""max"",1; ""color1"",""green""; ""empty"",""ignore""})"),"")</f>
        <v/>
      </c>
    </row>
    <row r="13">
      <c r="A13" s="16" t="s">
        <v>17</v>
      </c>
      <c r="B13" s="17">
        <f t="shared" ref="B13:D13" si="4">SUM(B3:B12)</f>
        <v>498</v>
      </c>
      <c r="C13" s="17">
        <f t="shared" si="4"/>
        <v>264</v>
      </c>
      <c r="D13" s="17">
        <f t="shared" si="4"/>
        <v>234</v>
      </c>
      <c r="E13" s="18">
        <f t="shared" si="3"/>
        <v>0.5301204819</v>
      </c>
      <c r="F13" s="19" t="str">
        <f>IFERROR(__xludf.DUMMYFUNCTION("SPARKLINE(E13, {""charttype"",""bar""; ""max"",1; ""color1"",""green""; ""empty"",""ignore""})"),"")</f>
        <v/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25.13"/>
    <col customWidth="1" min="3" max="3" width="36.75"/>
  </cols>
  <sheetData>
    <row r="1">
      <c r="A1" s="20">
        <f>IFERROR(__xludf.DUMMYFUNCTION("{FILTER(REGULARES!A:C, REGULARES!D:D&lt;&gt;""SI"", REGULARES!A:A&lt;&gt;""""); FILTER('¡VAMOS! (361–380)'!A:C, '¡VAMOS! (361–380)'!D:D&lt;&gt;""SI"", '¡VAMOS! (361–380)'!A:A&lt;&gt;""""); FILTER('Guantes de Oro (381–387)'!A:C, 'Guantes de Oro (381–387)'!D:D&lt;&gt;""SI"", 'Guantes de"&amp;" Oro (381–387)'!A:A&lt;&gt;""""); FILTER('Kryptonita (388–396)'!A:C, 'Kryptonita (388–396)'!D:D&lt;&gt;""SI"", 'Kryptonita (388–396)'!A:A&lt;&gt;""""); FILTER('Diamantes (397–414)'!A:C, 'Diamantes (397–414)'!D:D&lt;&gt;""SI"", 'Diamantes (397–414)'!A:A&lt;&gt;""""); FILTER('Influencer"&amp;"s (415–423)'!A:C, 'Influencers (415–423)'!D:D&lt;&gt;""SI"", 'Influencers (415–423)'!A:A&lt;&gt;""""); FILTER('Protas (424–441)'!A:C, 'Protas (424–441)'!D:D&lt;&gt;""SI"", 'Protas (424–441)'!A:A&lt;&gt;""""); FILTER('Super Cracks (442–467)'!A:C, 'Super Cracks (442–467)'!D:D&lt;&gt;""S"&amp;"I"", 'Super Cracks (442–467)'!A:A&lt;&gt;""""); FILTER('Cartas Top y Únicas (468–478)'!A:C, 'Cartas Top y Únicas (468–478)'!D:D&lt;&gt;""SI"", 'Cartas Top y Únicas (468–478)'!A:A&lt;&gt;""""); FILTER(Estadios!A:C, Estadios!D:D&lt;&gt;""SI"", Estadios!A:A&lt;&gt;"""")}"),2.0)</f>
        <v>2</v>
      </c>
      <c r="B1" s="20" t="str">
        <f>IFERROR(__xludf.DUMMYFUNCTION("""COMPUTED_VALUE"""),"SIVERA")</f>
        <v>SIVERA</v>
      </c>
      <c r="C1" s="20" t="str">
        <f>IFERROR(__xludf.DUMMYFUNCTION("""COMPUTED_VALUE"""),"D. ALAVÉS")</f>
        <v>D. ALAVÉS</v>
      </c>
    </row>
    <row r="2">
      <c r="A2" s="20">
        <f>IFERROR(__xludf.DUMMYFUNCTION("""COMPUTED_VALUE"""),5.0)</f>
        <v>5</v>
      </c>
      <c r="B2" s="20" t="str">
        <f>IFERROR(__xludf.DUMMYFUNCTION("""COMPUTED_VALUE"""),"TENAGLIA")</f>
        <v>TENAGLIA</v>
      </c>
      <c r="C2" s="20" t="str">
        <f>IFERROR(__xludf.DUMMYFUNCTION("""COMPUTED_VALUE"""),"D. ALAVÉS")</f>
        <v>D. ALAVÉS</v>
      </c>
    </row>
    <row r="3">
      <c r="A3" s="20">
        <f>IFERROR(__xludf.DUMMYFUNCTION("""COMPUTED_VALUE"""),8.0)</f>
        <v>8</v>
      </c>
      <c r="B3" s="20" t="str">
        <f>IFERROR(__xludf.DUMMYFUNCTION("""COMPUTED_VALUE"""),"MOUSSA DIARRA")</f>
        <v>MOUSSA DIARRA</v>
      </c>
      <c r="C3" s="20" t="str">
        <f>IFERROR(__xludf.DUMMYFUNCTION("""COMPUTED_VALUE"""),"D. ALAVÉS")</f>
        <v>D. ALAVÉS</v>
      </c>
    </row>
    <row r="4">
      <c r="A4" s="20">
        <f>IFERROR(__xludf.DUMMYFUNCTION("""COMPUTED_VALUE"""),11.0)</f>
        <v>11</v>
      </c>
      <c r="B4" s="20" t="str">
        <f>IFERROR(__xludf.DUMMYFUNCTION("""COMPUTED_VALUE"""),"GURIDI")</f>
        <v>GURIDI</v>
      </c>
      <c r="C4" s="20" t="str">
        <f>IFERROR(__xludf.DUMMYFUNCTION("""COMPUTED_VALUE"""),"D. ALAVÉS")</f>
        <v>D. ALAVÉS</v>
      </c>
    </row>
    <row r="5">
      <c r="A5" s="20">
        <f>IFERROR(__xludf.DUMMYFUNCTION("""COMPUTED_VALUE"""),12.0)</f>
        <v>12</v>
      </c>
      <c r="B5" s="20" t="str">
        <f>IFERROR(__xludf.DUMMYFUNCTION("""COMPUTED_VALUE"""),"ALEÑÁ")</f>
        <v>ALEÑÁ</v>
      </c>
      <c r="C5" s="20" t="str">
        <f>IFERROR(__xludf.DUMMYFUNCTION("""COMPUTED_VALUE"""),"D. ALAVÉS")</f>
        <v>D. ALAVÉS</v>
      </c>
    </row>
    <row r="6">
      <c r="A6" s="20">
        <f>IFERROR(__xludf.DUMMYFUNCTION("""COMPUTED_VALUE"""),13.0)</f>
        <v>13</v>
      </c>
      <c r="B6" s="20" t="str">
        <f>IFERROR(__xludf.DUMMYFUNCTION("""COMPUTED_VALUE"""),"PABLO IBÁÑEZ")</f>
        <v>PABLO IBÁÑEZ</v>
      </c>
      <c r="C6" s="20" t="str">
        <f>IFERROR(__xludf.DUMMYFUNCTION("""COMPUTED_VALUE"""),"D. ALAVÉS")</f>
        <v>D. ALAVÉS</v>
      </c>
    </row>
    <row r="7">
      <c r="A7" s="20">
        <f>IFERROR(__xludf.DUMMYFUNCTION("""COMPUTED_VALUE"""),14.0)</f>
        <v>14</v>
      </c>
      <c r="B7" s="20" t="str">
        <f>IFERROR(__xludf.DUMMYFUNCTION("""COMPUTED_VALUE"""),"DENIS SUÁREZ")</f>
        <v>DENIS SUÁREZ</v>
      </c>
      <c r="C7" s="20" t="str">
        <f>IFERROR(__xludf.DUMMYFUNCTION("""COMPUTED_VALUE"""),"D. ALAVÉS")</f>
        <v>D. ALAVÉS</v>
      </c>
    </row>
    <row r="8">
      <c r="A8" s="20">
        <f>IFERROR(__xludf.DUMMYFUNCTION("""COMPUTED_VALUE"""),16.0)</f>
        <v>16</v>
      </c>
      <c r="B8" s="20" t="str">
        <f>IFERROR(__xludf.DUMMYFUNCTION("""COMPUTED_VALUE"""),"TONI MARTÍNEZ")</f>
        <v>TONI MARTÍNEZ</v>
      </c>
      <c r="C8" s="20" t="str">
        <f>IFERROR(__xludf.DUMMYFUNCTION("""COMPUTED_VALUE"""),"D. ALAVÉS")</f>
        <v>D. ALAVÉS</v>
      </c>
    </row>
    <row r="9">
      <c r="A9" s="20">
        <f>IFERROR(__xludf.DUMMYFUNCTION("""COMPUTED_VALUE"""),19.0)</f>
        <v>19</v>
      </c>
      <c r="B9" s="20" t="str">
        <f>IFERROR(__xludf.DUMMYFUNCTION("""COMPUTED_VALUE"""),"ESCUDO")</f>
        <v>ESCUDO</v>
      </c>
      <c r="C9" s="20" t="str">
        <f>IFERROR(__xludf.DUMMYFUNCTION("""COMPUTED_VALUE"""),"ATHLETIC CLUB")</f>
        <v>ATHLETIC CLUB</v>
      </c>
    </row>
    <row r="10">
      <c r="A10" s="20">
        <f>IFERROR(__xludf.DUMMYFUNCTION("""COMPUTED_VALUE"""),20.0)</f>
        <v>20</v>
      </c>
      <c r="B10" s="20" t="str">
        <f>IFERROR(__xludf.DUMMYFUNCTION("""COMPUTED_VALUE"""),"UNAI SIMÓN")</f>
        <v>UNAI SIMÓN</v>
      </c>
      <c r="C10" s="20" t="str">
        <f>IFERROR(__xludf.DUMMYFUNCTION("""COMPUTED_VALUE"""),"ATHLETIC CLUB")</f>
        <v>ATHLETIC CLUB</v>
      </c>
    </row>
    <row r="11">
      <c r="A11" s="20">
        <f>IFERROR(__xludf.DUMMYFUNCTION("""COMPUTED_VALUE"""),24.0)</f>
        <v>24</v>
      </c>
      <c r="B11" s="20" t="str">
        <f>IFERROR(__xludf.DUMMYFUNCTION("""COMPUTED_VALUE"""),"PAREDES")</f>
        <v>PAREDES</v>
      </c>
      <c r="C11" s="20" t="str">
        <f>IFERROR(__xludf.DUMMYFUNCTION("""COMPUTED_VALUE"""),"ATHLETIC CLUB")</f>
        <v>ATHLETIC CLUB</v>
      </c>
    </row>
    <row r="12">
      <c r="A12" s="20">
        <f>IFERROR(__xludf.DUMMYFUNCTION("""COMPUTED_VALUE"""),25.0)</f>
        <v>25</v>
      </c>
      <c r="B12" s="20" t="str">
        <f>IFERROR(__xludf.DUMMYFUNCTION("""COMPUTED_VALUE"""),"LAPORTE")</f>
        <v>LAPORTE</v>
      </c>
      <c r="C12" s="20" t="str">
        <f>IFERROR(__xludf.DUMMYFUNCTION("""COMPUTED_VALUE"""),"ATHLETIC CLUB")</f>
        <v>ATHLETIC CLUB</v>
      </c>
    </row>
    <row r="13">
      <c r="A13" s="20">
        <f>IFERROR(__xludf.DUMMYFUNCTION("""COMPUTED_VALUE"""),26.0)</f>
        <v>26</v>
      </c>
      <c r="B13" s="20" t="str">
        <f>IFERROR(__xludf.DUMMYFUNCTION("""COMPUTED_VALUE"""),"YURI")</f>
        <v>YURI</v>
      </c>
      <c r="C13" s="20" t="str">
        <f>IFERROR(__xludf.DUMMYFUNCTION("""COMPUTED_VALUE"""),"ATHLETIC CLUB")</f>
        <v>ATHLETIC CLUB</v>
      </c>
    </row>
    <row r="14">
      <c r="A14" s="20">
        <f>IFERROR(__xludf.DUMMYFUNCTION("""COMPUTED_VALUE"""),28.0)</f>
        <v>28</v>
      </c>
      <c r="B14" s="20" t="str">
        <f>IFERROR(__xludf.DUMMYFUNCTION("""COMPUTED_VALUE"""),"JAUREGIZAR")</f>
        <v>JAUREGIZAR</v>
      </c>
      <c r="C14" s="20" t="str">
        <f>IFERROR(__xludf.DUMMYFUNCTION("""COMPUTED_VALUE"""),"ATHLETIC CLUB")</f>
        <v>ATHLETIC CLUB</v>
      </c>
    </row>
    <row r="15">
      <c r="A15" s="20">
        <f>IFERROR(__xludf.DUMMYFUNCTION("""COMPUTED_VALUE"""),29.0)</f>
        <v>29</v>
      </c>
      <c r="B15" s="20" t="str">
        <f>IFERROR(__xludf.DUMMYFUNCTION("""COMPUTED_VALUE"""),"VESGA")</f>
        <v>VESGA</v>
      </c>
      <c r="C15" s="20" t="str">
        <f>IFERROR(__xludf.DUMMYFUNCTION("""COMPUTED_VALUE"""),"ATHLETIC CLUB")</f>
        <v>ATHLETIC CLUB</v>
      </c>
    </row>
    <row r="16">
      <c r="A16" s="20">
        <f>IFERROR(__xludf.DUMMYFUNCTION("""COMPUTED_VALUE"""),30.0)</f>
        <v>30</v>
      </c>
      <c r="B16" s="20" t="str">
        <f>IFERROR(__xludf.DUMMYFUNCTION("""COMPUTED_VALUE"""),"UNAI GÓMEZ")</f>
        <v>UNAI GÓMEZ</v>
      </c>
      <c r="C16" s="20" t="str">
        <f>IFERROR(__xludf.DUMMYFUNCTION("""COMPUTED_VALUE"""),"ATHLETIC CLUB")</f>
        <v>ATHLETIC CLUB</v>
      </c>
    </row>
    <row r="17">
      <c r="A17" s="20">
        <f>IFERROR(__xludf.DUMMYFUNCTION("""COMPUTED_VALUE"""),32.0)</f>
        <v>32</v>
      </c>
      <c r="B17" s="20" t="str">
        <f>IFERROR(__xludf.DUMMYFUNCTION("""COMPUTED_VALUE"""),"BERENGUER")</f>
        <v>BERENGUER</v>
      </c>
      <c r="C17" s="20" t="str">
        <f>IFERROR(__xludf.DUMMYFUNCTION("""COMPUTED_VALUE"""),"ATHLETIC CLUB")</f>
        <v>ATHLETIC CLUB</v>
      </c>
    </row>
    <row r="18">
      <c r="A18" s="20">
        <f>IFERROR(__xludf.DUMMYFUNCTION("""COMPUTED_VALUE"""),35.0)</f>
        <v>35</v>
      </c>
      <c r="B18" s="20" t="str">
        <f>IFERROR(__xludf.DUMMYFUNCTION("""COMPUTED_VALUE"""),"GURUZETA")</f>
        <v>GURUZETA</v>
      </c>
      <c r="C18" s="20" t="str">
        <f>IFERROR(__xludf.DUMMYFUNCTION("""COMPUTED_VALUE"""),"ATHLETIC CLUB")</f>
        <v>ATHLETIC CLUB</v>
      </c>
    </row>
    <row r="19">
      <c r="A19" s="20">
        <f>IFERROR(__xludf.DUMMYFUNCTION("""COMPUTED_VALUE"""),36.0)</f>
        <v>36</v>
      </c>
      <c r="B19" s="20" t="str">
        <f>IFERROR(__xludf.DUMMYFUNCTION("""COMPUTED_VALUE"""),"NICO WILLIAMS")</f>
        <v>NICO WILLIAMS</v>
      </c>
      <c r="C19" s="20" t="str">
        <f>IFERROR(__xludf.DUMMYFUNCTION("""COMPUTED_VALUE"""),"ATHLETIC CLUB")</f>
        <v>ATHLETIC CLUB</v>
      </c>
    </row>
    <row r="20">
      <c r="A20" s="20">
        <f>IFERROR(__xludf.DUMMYFUNCTION("""COMPUTED_VALUE"""),37.0)</f>
        <v>37</v>
      </c>
      <c r="B20" s="20" t="str">
        <f>IFERROR(__xludf.DUMMYFUNCTION("""COMPUTED_VALUE"""),"ESCUDO")</f>
        <v>ESCUDO</v>
      </c>
      <c r="C20" s="20" t="str">
        <f>IFERROR(__xludf.DUMMYFUNCTION("""COMPUTED_VALUE"""),"ATLÉTICO DE MADRID")</f>
        <v>ATLÉTICO DE MADRID</v>
      </c>
    </row>
    <row r="21">
      <c r="A21" s="20">
        <f>IFERROR(__xludf.DUMMYFUNCTION("""COMPUTED_VALUE"""),38.0)</f>
        <v>38</v>
      </c>
      <c r="B21" s="20" t="str">
        <f>IFERROR(__xludf.DUMMYFUNCTION("""COMPUTED_VALUE"""),"OBLAK")</f>
        <v>OBLAK</v>
      </c>
      <c r="C21" s="20" t="str">
        <f>IFERROR(__xludf.DUMMYFUNCTION("""COMPUTED_VALUE"""),"ATLÉTICO DE MADRID")</f>
        <v>ATLÉTICO DE MADRID</v>
      </c>
    </row>
    <row r="22">
      <c r="A22" s="20">
        <f>IFERROR(__xludf.DUMMYFUNCTION("""COMPUTED_VALUE"""),45.0)</f>
        <v>45</v>
      </c>
      <c r="B22" s="20" t="str">
        <f>IFERROR(__xludf.DUMMYFUNCTION("""COMPUTED_VALUE"""),"KOKE")</f>
        <v>KOKE</v>
      </c>
      <c r="C22" s="20" t="str">
        <f>IFERROR(__xludf.DUMMYFUNCTION("""COMPUTED_VALUE"""),"ATLÉTICO DE MADRID")</f>
        <v>ATLÉTICO DE MADRID</v>
      </c>
    </row>
    <row r="23">
      <c r="A23" s="20">
        <f>IFERROR(__xludf.DUMMYFUNCTION("""COMPUTED_VALUE"""),48.0)</f>
        <v>48</v>
      </c>
      <c r="B23" s="20" t="str">
        <f>IFERROR(__xludf.DUMMYFUNCTION("""COMPUTED_VALUE"""),"ALEX BAENA")</f>
        <v>ALEX BAENA</v>
      </c>
      <c r="C23" s="20" t="str">
        <f>IFERROR(__xludf.DUMMYFUNCTION("""COMPUTED_VALUE"""),"ATLÉTICO DE MADRID")</f>
        <v>ATLÉTICO DE MADRID</v>
      </c>
    </row>
    <row r="24">
      <c r="A24" s="20">
        <f>IFERROR(__xludf.DUMMYFUNCTION("""COMPUTED_VALUE"""),50.0)</f>
        <v>50</v>
      </c>
      <c r="B24" s="20" t="str">
        <f>IFERROR(__xludf.DUMMYFUNCTION("""COMPUTED_VALUE"""),"NICO GONZÁLEZ")</f>
        <v>NICO GONZÁLEZ</v>
      </c>
      <c r="C24" s="20" t="str">
        <f>IFERROR(__xludf.DUMMYFUNCTION("""COMPUTED_VALUE"""),"ATLÉTICO DE MADRID")</f>
        <v>ATLÉTICO DE MADRID</v>
      </c>
    </row>
    <row r="25">
      <c r="A25" s="20">
        <f>IFERROR(__xludf.DUMMYFUNCTION("""COMPUTED_VALUE"""),51.0)</f>
        <v>51</v>
      </c>
      <c r="B25" s="20" t="str">
        <f>IFERROR(__xludf.DUMMYFUNCTION("""COMPUTED_VALUE"""),"GIULIANO")</f>
        <v>GIULIANO</v>
      </c>
      <c r="C25" s="20" t="str">
        <f>IFERROR(__xludf.DUMMYFUNCTION("""COMPUTED_VALUE"""),"ATLÉTICO DE MADRID")</f>
        <v>ATLÉTICO DE MADRID</v>
      </c>
    </row>
    <row r="26">
      <c r="A26" s="20">
        <f>IFERROR(__xludf.DUMMYFUNCTION("""COMPUTED_VALUE"""),52.0)</f>
        <v>52</v>
      </c>
      <c r="B26" s="20" t="str">
        <f>IFERROR(__xludf.DUMMYFUNCTION("""COMPUTED_VALUE"""),"JULIÁN ALVAREZ")</f>
        <v>JULIÁN ALVAREZ</v>
      </c>
      <c r="C26" s="20" t="str">
        <f>IFERROR(__xludf.DUMMYFUNCTION("""COMPUTED_VALUE"""),"ATLÉTICO DE MADRID")</f>
        <v>ATLÉTICO DE MADRID</v>
      </c>
    </row>
    <row r="27">
      <c r="A27" s="20">
        <f>IFERROR(__xludf.DUMMYFUNCTION("""COMPUTED_VALUE"""),53.0)</f>
        <v>53</v>
      </c>
      <c r="B27" s="20" t="str">
        <f>IFERROR(__xludf.DUMMYFUNCTION("""COMPUTED_VALUE"""),"SORLOTH")</f>
        <v>SORLOTH</v>
      </c>
      <c r="C27" s="20" t="str">
        <f>IFERROR(__xludf.DUMMYFUNCTION("""COMPUTED_VALUE"""),"ATLÉTICO DE MADRID")</f>
        <v>ATLÉTICO DE MADRID</v>
      </c>
    </row>
    <row r="28">
      <c r="A28" s="20">
        <f>IFERROR(__xludf.DUMMYFUNCTION("""COMPUTED_VALUE"""),54.0)</f>
        <v>54</v>
      </c>
      <c r="B28" s="20" t="str">
        <f>IFERROR(__xludf.DUMMYFUNCTION("""COMPUTED_VALUE"""),"GRIEZMANN")</f>
        <v>GRIEZMANN</v>
      </c>
      <c r="C28" s="20" t="str">
        <f>IFERROR(__xludf.DUMMYFUNCTION("""COMPUTED_VALUE"""),"ATLÉTICO DE MADRID")</f>
        <v>ATLÉTICO DE MADRID</v>
      </c>
    </row>
    <row r="29">
      <c r="A29" s="20">
        <f>IFERROR(__xludf.DUMMYFUNCTION("""COMPUTED_VALUE"""),57.0)</f>
        <v>57</v>
      </c>
      <c r="B29" s="20" t="str">
        <f>IFERROR(__xludf.DUMMYFUNCTION("""COMPUTED_VALUE"""),"SZCZESNY")</f>
        <v>SZCZESNY</v>
      </c>
      <c r="C29" s="20" t="str">
        <f>IFERROR(__xludf.DUMMYFUNCTION("""COMPUTED_VALUE"""),"FC BARCELONA")</f>
        <v>FC BARCELONA</v>
      </c>
    </row>
    <row r="30">
      <c r="A30" s="20">
        <f>IFERROR(__xludf.DUMMYFUNCTION("""COMPUTED_VALUE"""),58.0)</f>
        <v>58</v>
      </c>
      <c r="B30" s="20" t="str">
        <f>IFERROR(__xludf.DUMMYFUNCTION("""COMPUTED_VALUE"""),"KOUNDÉ")</f>
        <v>KOUNDÉ</v>
      </c>
      <c r="C30" s="20" t="str">
        <f>IFERROR(__xludf.DUMMYFUNCTION("""COMPUTED_VALUE"""),"FC BARCELONA")</f>
        <v>FC BARCELONA</v>
      </c>
    </row>
    <row r="31">
      <c r="A31" s="20">
        <f>IFERROR(__xludf.DUMMYFUNCTION("""COMPUTED_VALUE"""),60.0)</f>
        <v>60</v>
      </c>
      <c r="B31" s="20" t="str">
        <f>IFERROR(__xludf.DUMMYFUNCTION("""COMPUTED_VALUE"""),"ERIC GARCÍA")</f>
        <v>ERIC GARCÍA</v>
      </c>
      <c r="C31" s="20" t="str">
        <f>IFERROR(__xludf.DUMMYFUNCTION("""COMPUTED_VALUE"""),"FC BARCELONA")</f>
        <v>FC BARCELONA</v>
      </c>
    </row>
    <row r="32">
      <c r="A32" s="20">
        <f>IFERROR(__xludf.DUMMYFUNCTION("""COMPUTED_VALUE"""),61.0)</f>
        <v>61</v>
      </c>
      <c r="B32" s="20" t="str">
        <f>IFERROR(__xludf.DUMMYFUNCTION("""COMPUTED_VALUE"""),"ARAÚJO")</f>
        <v>ARAÚJO</v>
      </c>
      <c r="C32" s="20" t="str">
        <f>IFERROR(__xludf.DUMMYFUNCTION("""COMPUTED_VALUE"""),"FC BARCELONA")</f>
        <v>FC BARCELONA</v>
      </c>
    </row>
    <row r="33">
      <c r="A33" s="20">
        <f>IFERROR(__xludf.DUMMYFUNCTION("""COMPUTED_VALUE"""),66.0)</f>
        <v>66</v>
      </c>
      <c r="B33" s="20" t="str">
        <f>IFERROR(__xludf.DUMMYFUNCTION("""COMPUTED_VALUE"""),"FERMÍN")</f>
        <v>FERMÍN</v>
      </c>
      <c r="C33" s="20" t="str">
        <f>IFERROR(__xludf.DUMMYFUNCTION("""COMPUTED_VALUE"""),"FC BARCELONA")</f>
        <v>FC BARCELONA</v>
      </c>
    </row>
    <row r="34">
      <c r="A34" s="20">
        <f>IFERROR(__xludf.DUMMYFUNCTION("""COMPUTED_VALUE"""),68.0)</f>
        <v>68</v>
      </c>
      <c r="B34" s="20" t="str">
        <f>IFERROR(__xludf.DUMMYFUNCTION("""COMPUTED_VALUE"""),"RAPHINHA")</f>
        <v>RAPHINHA</v>
      </c>
      <c r="C34" s="20" t="str">
        <f>IFERROR(__xludf.DUMMYFUNCTION("""COMPUTED_VALUE"""),"FC BARCELONA")</f>
        <v>FC BARCELONA</v>
      </c>
    </row>
    <row r="35">
      <c r="A35" s="20">
        <f>IFERROR(__xludf.DUMMYFUNCTION("""COMPUTED_VALUE"""),69.0)</f>
        <v>69</v>
      </c>
      <c r="B35" s="20" t="str">
        <f>IFERROR(__xludf.DUMMYFUNCTION("""COMPUTED_VALUE"""),"LAMINE YAMAL")</f>
        <v>LAMINE YAMAL</v>
      </c>
      <c r="C35" s="20" t="str">
        <f>IFERROR(__xludf.DUMMYFUNCTION("""COMPUTED_VALUE"""),"FC BARCELONA")</f>
        <v>FC BARCELONA</v>
      </c>
    </row>
    <row r="36">
      <c r="A36" s="20">
        <f>IFERROR(__xludf.DUMMYFUNCTION("""COMPUTED_VALUE"""),70.0)</f>
        <v>70</v>
      </c>
      <c r="B36" s="20" t="str">
        <f>IFERROR(__xludf.DUMMYFUNCTION("""COMPUTED_VALUE"""),"FERRAN TORRES")</f>
        <v>FERRAN TORRES</v>
      </c>
      <c r="C36" s="20" t="str">
        <f>IFERROR(__xludf.DUMMYFUNCTION("""COMPUTED_VALUE"""),"FC BARCELONA")</f>
        <v>FC BARCELONA</v>
      </c>
    </row>
    <row r="37">
      <c r="A37" s="20">
        <f>IFERROR(__xludf.DUMMYFUNCTION("""COMPUTED_VALUE"""),72.0)</f>
        <v>72</v>
      </c>
      <c r="B37" s="20" t="str">
        <f>IFERROR(__xludf.DUMMYFUNCTION("""COMPUTED_VALUE"""),"RASHFORD")</f>
        <v>RASHFORD</v>
      </c>
      <c r="C37" s="20" t="str">
        <f>IFERROR(__xludf.DUMMYFUNCTION("""COMPUTED_VALUE"""),"FC BARCELONA")</f>
        <v>FC BARCELONA</v>
      </c>
    </row>
    <row r="38">
      <c r="A38" s="20">
        <f>IFERROR(__xludf.DUMMYFUNCTION("""COMPUTED_VALUE"""),75.0)</f>
        <v>75</v>
      </c>
      <c r="B38" s="20" t="str">
        <f>IFERROR(__xludf.DUMMYFUNCTION("""COMPUTED_VALUE"""),"VALLES")</f>
        <v>VALLES</v>
      </c>
      <c r="C38" s="20" t="str">
        <f>IFERROR(__xludf.DUMMYFUNCTION("""COMPUTED_VALUE"""),"REAL BETIS")</f>
        <v>REAL BETIS</v>
      </c>
    </row>
    <row r="39">
      <c r="A39" s="20">
        <f>IFERROR(__xludf.DUMMYFUNCTION("""COMPUTED_VALUE"""),77.0)</f>
        <v>77</v>
      </c>
      <c r="B39" s="20" t="str">
        <f>IFERROR(__xludf.DUMMYFUNCTION("""COMPUTED_VALUE"""),"BARTRA")</f>
        <v>BARTRA</v>
      </c>
      <c r="C39" s="20" t="str">
        <f>IFERROR(__xludf.DUMMYFUNCTION("""COMPUTED_VALUE"""),"REAL BETIS")</f>
        <v>REAL BETIS</v>
      </c>
    </row>
    <row r="40">
      <c r="A40" s="20">
        <f>IFERROR(__xludf.DUMMYFUNCTION("""COMPUTED_VALUE"""),78.0)</f>
        <v>78</v>
      </c>
      <c r="B40" s="20" t="str">
        <f>IFERROR(__xludf.DUMMYFUNCTION("""COMPUTED_VALUE"""),"DIEGO LLORENTE")</f>
        <v>DIEGO LLORENTE</v>
      </c>
      <c r="C40" s="20" t="str">
        <f>IFERROR(__xludf.DUMMYFUNCTION("""COMPUTED_VALUE"""),"REAL BETIS")</f>
        <v>REAL BETIS</v>
      </c>
    </row>
    <row r="41">
      <c r="A41" s="20">
        <f>IFERROR(__xludf.DUMMYFUNCTION("""COMPUTED_VALUE"""),80.0)</f>
        <v>80</v>
      </c>
      <c r="B41" s="20" t="str">
        <f>IFERROR(__xludf.DUMMYFUNCTION("""COMPUTED_VALUE"""),"VALENTÍN GÓMEZ")</f>
        <v>VALENTÍN GÓMEZ</v>
      </c>
      <c r="C41" s="20" t="str">
        <f>IFERROR(__xludf.DUMMYFUNCTION("""COMPUTED_VALUE"""),"REAL BETIS")</f>
        <v>REAL BETIS</v>
      </c>
    </row>
    <row r="42">
      <c r="A42" s="20">
        <f>IFERROR(__xludf.DUMMYFUNCTION("""COMPUTED_VALUE"""),82.0)</f>
        <v>82</v>
      </c>
      <c r="B42" s="20" t="str">
        <f>IFERROR(__xludf.DUMMYFUNCTION("""COMPUTED_VALUE"""),"ALTIMIRA")</f>
        <v>ALTIMIRA</v>
      </c>
      <c r="C42" s="20" t="str">
        <f>IFERROR(__xludf.DUMMYFUNCTION("""COMPUTED_VALUE"""),"REAL BETIS")</f>
        <v>REAL BETIS</v>
      </c>
    </row>
    <row r="43">
      <c r="A43" s="20">
        <f>IFERROR(__xludf.DUMMYFUNCTION("""COMPUTED_VALUE"""),83.0)</f>
        <v>83</v>
      </c>
      <c r="B43" s="20" t="str">
        <f>IFERROR(__xludf.DUMMYFUNCTION("""COMPUTED_VALUE"""),"AMRABAT")</f>
        <v>AMRABAT</v>
      </c>
      <c r="C43" s="20" t="str">
        <f>IFERROR(__xludf.DUMMYFUNCTION("""COMPUTED_VALUE"""),"REAL BETIS")</f>
        <v>REAL BETIS</v>
      </c>
    </row>
    <row r="44">
      <c r="A44" s="20">
        <f>IFERROR(__xludf.DUMMYFUNCTION("""COMPUTED_VALUE"""),85.0)</f>
        <v>85</v>
      </c>
      <c r="B44" s="20" t="str">
        <f>IFERROR(__xludf.DUMMYFUNCTION("""COMPUTED_VALUE"""),"LO CELSO")</f>
        <v>LO CELSO</v>
      </c>
      <c r="C44" s="20" t="str">
        <f>IFERROR(__xludf.DUMMYFUNCTION("""COMPUTED_VALUE"""),"REAL BETIS")</f>
        <v>REAL BETIS</v>
      </c>
    </row>
    <row r="45">
      <c r="A45" s="20">
        <f>IFERROR(__xludf.DUMMYFUNCTION("""COMPUTED_VALUE"""),89.0)</f>
        <v>89</v>
      </c>
      <c r="B45" s="20" t="str">
        <f>IFERROR(__xludf.DUMMYFUNCTION("""COMPUTED_VALUE"""),"RIQUELME")</f>
        <v>RIQUELME</v>
      </c>
      <c r="C45" s="20" t="str">
        <f>IFERROR(__xludf.DUMMYFUNCTION("""COMPUTED_VALUE"""),"REAL BETIS")</f>
        <v>REAL BETIS</v>
      </c>
    </row>
    <row r="46">
      <c r="A46" s="20">
        <f>IFERROR(__xludf.DUMMYFUNCTION("""COMPUTED_VALUE"""),90.0)</f>
        <v>90</v>
      </c>
      <c r="B46" s="20" t="str">
        <f>IFERROR(__xludf.DUMMYFUNCTION("""COMPUTED_VALUE"""),"ABDE")</f>
        <v>ABDE</v>
      </c>
      <c r="C46" s="20" t="str">
        <f>IFERROR(__xludf.DUMMYFUNCTION("""COMPUTED_VALUE"""),"REAL BETIS")</f>
        <v>REAL BETIS</v>
      </c>
    </row>
    <row r="47">
      <c r="A47" s="20">
        <f>IFERROR(__xludf.DUMMYFUNCTION("""COMPUTED_VALUE"""),92.0)</f>
        <v>92</v>
      </c>
      <c r="B47" s="20" t="str">
        <f>IFERROR(__xludf.DUMMYFUNCTION("""COMPUTED_VALUE"""),"RADU")</f>
        <v>RADU</v>
      </c>
      <c r="C47" s="20" t="str">
        <f>IFERROR(__xludf.DUMMYFUNCTION("""COMPUTED_VALUE"""),"RC CELTA")</f>
        <v>RC CELTA</v>
      </c>
    </row>
    <row r="48">
      <c r="A48" s="20">
        <f>IFERROR(__xludf.DUMMYFUNCTION("""COMPUTED_VALUE"""),94.0)</f>
        <v>94</v>
      </c>
      <c r="B48" s="20" t="str">
        <f>IFERROR(__xludf.DUMMYFUNCTION("""COMPUTED_VALUE"""),"JAVI RUEDA")</f>
        <v>JAVI RUEDA</v>
      </c>
      <c r="C48" s="20" t="str">
        <f>IFERROR(__xludf.DUMMYFUNCTION("""COMPUTED_VALUE"""),"RC CELTA")</f>
        <v>RC CELTA</v>
      </c>
    </row>
    <row r="49">
      <c r="A49" s="20">
        <f>IFERROR(__xludf.DUMMYFUNCTION("""COMPUTED_VALUE"""),95.0)</f>
        <v>95</v>
      </c>
      <c r="B49" s="20" t="str">
        <f>IFERROR(__xludf.DUMMYFUNCTION("""COMPUTED_VALUE"""),"JAVI RODRÍGUEZ")</f>
        <v>JAVI RODRÍGUEZ</v>
      </c>
      <c r="C49" s="20" t="str">
        <f>IFERROR(__xludf.DUMMYFUNCTION("""COMPUTED_VALUE"""),"RC CELTA")</f>
        <v>RC CELTA</v>
      </c>
    </row>
    <row r="50">
      <c r="A50" s="20">
        <f>IFERROR(__xludf.DUMMYFUNCTION("""COMPUTED_VALUE"""),96.0)</f>
        <v>96</v>
      </c>
      <c r="B50" s="20" t="str">
        <f>IFERROR(__xludf.DUMMYFUNCTION("""COMPUTED_VALUE"""),"STARFELT")</f>
        <v>STARFELT</v>
      </c>
      <c r="C50" s="20" t="str">
        <f>IFERROR(__xludf.DUMMYFUNCTION("""COMPUTED_VALUE"""),"RC CELTA")</f>
        <v>RC CELTA</v>
      </c>
    </row>
    <row r="51">
      <c r="A51" s="20">
        <f>IFERROR(__xludf.DUMMYFUNCTION("""COMPUTED_VALUE"""),97.0)</f>
        <v>97</v>
      </c>
      <c r="B51" s="20" t="str">
        <f>IFERROR(__xludf.DUMMYFUNCTION("""COMPUTED_VALUE"""),"MARCOS ALONSO")</f>
        <v>MARCOS ALONSO</v>
      </c>
      <c r="C51" s="20" t="str">
        <f>IFERROR(__xludf.DUMMYFUNCTION("""COMPUTED_VALUE"""),"RC CELTA")</f>
        <v>RC CELTA</v>
      </c>
    </row>
    <row r="52">
      <c r="A52" s="20">
        <f>IFERROR(__xludf.DUMMYFUNCTION("""COMPUTED_VALUE"""),98.0)</f>
        <v>98</v>
      </c>
      <c r="B52" s="20" t="str">
        <f>IFERROR(__xludf.DUMMYFUNCTION("""COMPUTED_VALUE"""),"MINGUEZA")</f>
        <v>MINGUEZA</v>
      </c>
      <c r="C52" s="20" t="str">
        <f>IFERROR(__xludf.DUMMYFUNCTION("""COMPUTED_VALUE"""),"RC CELTA")</f>
        <v>RC CELTA</v>
      </c>
    </row>
    <row r="53">
      <c r="A53" s="20">
        <f>IFERROR(__xludf.DUMMYFUNCTION("""COMPUTED_VALUE"""),101.0)</f>
        <v>101</v>
      </c>
      <c r="B53" s="20" t="str">
        <f>IFERROR(__xludf.DUMMYFUNCTION("""COMPUTED_VALUE"""),"FRAN BELTRÁN")</f>
        <v>FRAN BELTRÁN</v>
      </c>
      <c r="C53" s="20" t="str">
        <f>IFERROR(__xludf.DUMMYFUNCTION("""COMPUTED_VALUE"""),"RC CELTA")</f>
        <v>RC CELTA</v>
      </c>
    </row>
    <row r="54">
      <c r="A54" s="20">
        <f>IFERROR(__xludf.DUMMYFUNCTION("""COMPUTED_VALUE"""),105.0)</f>
        <v>105</v>
      </c>
      <c r="B54" s="20" t="str">
        <f>IFERROR(__xludf.DUMMYFUNCTION("""COMPUTED_VALUE"""),"BRYAN ZARAGOZA")</f>
        <v>BRYAN ZARAGOZA</v>
      </c>
      <c r="C54" s="20" t="str">
        <f>IFERROR(__xludf.DUMMYFUNCTION("""COMPUTED_VALUE"""),"RC CELTA")</f>
        <v>RC CELTA</v>
      </c>
    </row>
    <row r="55">
      <c r="A55" s="20">
        <f>IFERROR(__xludf.DUMMYFUNCTION("""COMPUTED_VALUE"""),107.0)</f>
        <v>107</v>
      </c>
      <c r="B55" s="20" t="str">
        <f>IFERROR(__xludf.DUMMYFUNCTION("""COMPUTED_VALUE"""),"BORJA IGLESIAS")</f>
        <v>BORJA IGLESIAS</v>
      </c>
      <c r="C55" s="20" t="str">
        <f>IFERROR(__xludf.DUMMYFUNCTION("""COMPUTED_VALUE"""),"RC CELTA")</f>
        <v>RC CELTA</v>
      </c>
    </row>
    <row r="56">
      <c r="A56" s="20">
        <f>IFERROR(__xludf.DUMMYFUNCTION("""COMPUTED_VALUE"""),112.0)</f>
        <v>112</v>
      </c>
      <c r="B56" s="20" t="str">
        <f>IFERROR(__xludf.DUMMYFUNCTION("""COMPUTED_VALUE"""),"ÁLVARO NÚÑEZ")</f>
        <v>ÁLVARO NÚÑEZ</v>
      </c>
      <c r="C56" s="20" t="str">
        <f>IFERROR(__xludf.DUMMYFUNCTION("""COMPUTED_VALUE"""),"ELCHE CF")</f>
        <v>ELCHE CF</v>
      </c>
    </row>
    <row r="57">
      <c r="A57" s="20">
        <f>IFERROR(__xludf.DUMMYFUNCTION("""COMPUTED_VALUE"""),113.0)</f>
        <v>113</v>
      </c>
      <c r="B57" s="20" t="str">
        <f>IFERROR(__xludf.DUMMYFUNCTION("""COMPUTED_VALUE"""),"CHUST")</f>
        <v>CHUST</v>
      </c>
      <c r="C57" s="20" t="str">
        <f>IFERROR(__xludf.DUMMYFUNCTION("""COMPUTED_VALUE"""),"ELCHE CF")</f>
        <v>ELCHE CF</v>
      </c>
    </row>
    <row r="58">
      <c r="A58" s="20">
        <f>IFERROR(__xludf.DUMMYFUNCTION("""COMPUTED_VALUE"""),114.0)</f>
        <v>114</v>
      </c>
      <c r="B58" s="20" t="str">
        <f>IFERROR(__xludf.DUMMYFUNCTION("""COMPUTED_VALUE"""),"BIGAS")</f>
        <v>BIGAS</v>
      </c>
      <c r="C58" s="20" t="str">
        <f>IFERROR(__xludf.DUMMYFUNCTION("""COMPUTED_VALUE"""),"ELCHE CF")</f>
        <v>ELCHE CF</v>
      </c>
    </row>
    <row r="59">
      <c r="A59" s="20">
        <f>IFERROR(__xludf.DUMMYFUNCTION("""COMPUTED_VALUE"""),115.0)</f>
        <v>115</v>
      </c>
      <c r="B59" s="20" t="str">
        <f>IFERROR(__xludf.DUMMYFUNCTION("""COMPUTED_VALUE"""),"AFFENGRUBER")</f>
        <v>AFFENGRUBER</v>
      </c>
      <c r="C59" s="20" t="str">
        <f>IFERROR(__xludf.DUMMYFUNCTION("""COMPUTED_VALUE"""),"ELCHE CF")</f>
        <v>ELCHE CF</v>
      </c>
    </row>
    <row r="60">
      <c r="A60" s="20">
        <f>IFERROR(__xludf.DUMMYFUNCTION("""COMPUTED_VALUE"""),116.0)</f>
        <v>116</v>
      </c>
      <c r="B60" s="20" t="str">
        <f>IFERROR(__xludf.DUMMYFUNCTION("""COMPUTED_VALUE"""),"PEDROSA")</f>
        <v>PEDROSA</v>
      </c>
      <c r="C60" s="20" t="str">
        <f>IFERROR(__xludf.DUMMYFUNCTION("""COMPUTED_VALUE"""),"ELCHE CF")</f>
        <v>ELCHE CF</v>
      </c>
    </row>
    <row r="61">
      <c r="A61" s="20">
        <f>IFERROR(__xludf.DUMMYFUNCTION("""COMPUTED_VALUE"""),118.0)</f>
        <v>118</v>
      </c>
      <c r="B61" s="20" t="str">
        <f>IFERROR(__xludf.DUMMYFUNCTION("""COMPUTED_VALUE"""),"GERMÁN VALERA")</f>
        <v>GERMÁN VALERA</v>
      </c>
      <c r="C61" s="20" t="str">
        <f>IFERROR(__xludf.DUMMYFUNCTION("""COMPUTED_VALUE"""),"ELCHE CF")</f>
        <v>ELCHE CF</v>
      </c>
    </row>
    <row r="62">
      <c r="A62" s="20">
        <f>IFERROR(__xludf.DUMMYFUNCTION("""COMPUTED_VALUE"""),119.0)</f>
        <v>119</v>
      </c>
      <c r="B62" s="20" t="str">
        <f>IFERROR(__xludf.DUMMYFUNCTION("""COMPUTED_VALUE"""),"MARTIM NETO")</f>
        <v>MARTIM NETO</v>
      </c>
      <c r="C62" s="20" t="str">
        <f>IFERROR(__xludf.DUMMYFUNCTION("""COMPUTED_VALUE"""),"ELCHE CF")</f>
        <v>ELCHE CF</v>
      </c>
    </row>
    <row r="63">
      <c r="A63" s="20">
        <f>IFERROR(__xludf.DUMMYFUNCTION("""COMPUTED_VALUE"""),120.0)</f>
        <v>120</v>
      </c>
      <c r="B63" s="20" t="str">
        <f>IFERROR(__xludf.DUMMYFUNCTION("""COMPUTED_VALUE"""),"FEBAS")</f>
        <v>FEBAS</v>
      </c>
      <c r="C63" s="20" t="str">
        <f>IFERROR(__xludf.DUMMYFUNCTION("""COMPUTED_VALUE"""),"ELCHE CF")</f>
        <v>ELCHE CF</v>
      </c>
    </row>
    <row r="64">
      <c r="A64" s="20">
        <f>IFERROR(__xludf.DUMMYFUNCTION("""COMPUTED_VALUE"""),125.0)</f>
        <v>125</v>
      </c>
      <c r="B64" s="20" t="str">
        <f>IFERROR(__xludf.DUMMYFUNCTION("""COMPUTED_VALUE"""),"ANDRÉ SILVA")</f>
        <v>ANDRÉ SILVA</v>
      </c>
      <c r="C64" s="20" t="str">
        <f>IFERROR(__xludf.DUMMYFUNCTION("""COMPUTED_VALUE"""),"ELCHE CF")</f>
        <v>ELCHE CF</v>
      </c>
    </row>
    <row r="65">
      <c r="A65" s="20">
        <f>IFERROR(__xludf.DUMMYFUNCTION("""COMPUTED_VALUE"""),126.0)</f>
        <v>126</v>
      </c>
      <c r="B65" s="20" t="str">
        <f>IFERROR(__xludf.DUMMYFUNCTION("""COMPUTED_VALUE"""),"RAFA MIR")</f>
        <v>RAFA MIR</v>
      </c>
      <c r="C65" s="20" t="str">
        <f>IFERROR(__xludf.DUMMYFUNCTION("""COMPUTED_VALUE"""),"ELCHE CF")</f>
        <v>ELCHE CF</v>
      </c>
    </row>
    <row r="66">
      <c r="A66" s="20">
        <f>IFERROR(__xludf.DUMMYFUNCTION("""COMPUTED_VALUE"""),128.0)</f>
        <v>128</v>
      </c>
      <c r="B66" s="20" t="str">
        <f>IFERROR(__xludf.DUMMYFUNCTION("""COMPUTED_VALUE"""),"DMITROVIC")</f>
        <v>DMITROVIC</v>
      </c>
      <c r="C66" s="20" t="str">
        <f>IFERROR(__xludf.DUMMYFUNCTION("""COMPUTED_VALUE"""),"RCD ESPANYOL")</f>
        <v>RCD ESPANYOL</v>
      </c>
    </row>
    <row r="67">
      <c r="A67" s="20">
        <f>IFERROR(__xludf.DUMMYFUNCTION("""COMPUTED_VALUE"""),132.0)</f>
        <v>132</v>
      </c>
      <c r="B67" s="20" t="str">
        <f>IFERROR(__xludf.DUMMYFUNCTION("""COMPUTED_VALUE"""),"RIEDEL")</f>
        <v>RIEDEL</v>
      </c>
      <c r="C67" s="20" t="str">
        <f>IFERROR(__xludf.DUMMYFUNCTION("""COMPUTED_VALUE"""),"RCD ESPANYOL")</f>
        <v>RCD ESPANYOL</v>
      </c>
    </row>
    <row r="68">
      <c r="A68" s="20">
        <f>IFERROR(__xludf.DUMMYFUNCTION("""COMPUTED_VALUE"""),133.0)</f>
        <v>133</v>
      </c>
      <c r="B68" s="20" t="str">
        <f>IFERROR(__xludf.DUMMYFUNCTION("""COMPUTED_VALUE"""),"CABRERA")</f>
        <v>CABRERA</v>
      </c>
      <c r="C68" s="20" t="str">
        <f>IFERROR(__xludf.DUMMYFUNCTION("""COMPUTED_VALUE"""),"RCD ESPANYOL")</f>
        <v>RCD ESPANYOL</v>
      </c>
    </row>
    <row r="69">
      <c r="A69" s="20">
        <f>IFERROR(__xludf.DUMMYFUNCTION("""COMPUTED_VALUE"""),134.0)</f>
        <v>134</v>
      </c>
      <c r="B69" s="20" t="str">
        <f>IFERROR(__xludf.DUMMYFUNCTION("""COMPUTED_VALUE"""),"CARLOS ROMERO")</f>
        <v>CARLOS ROMERO</v>
      </c>
      <c r="C69" s="20" t="str">
        <f>IFERROR(__xludf.DUMMYFUNCTION("""COMPUTED_VALUE"""),"RCD ESPANYOL")</f>
        <v>RCD ESPANYOL</v>
      </c>
    </row>
    <row r="70">
      <c r="A70" s="20">
        <f>IFERROR(__xludf.DUMMYFUNCTION("""COMPUTED_VALUE"""),142.0)</f>
        <v>142</v>
      </c>
      <c r="B70" s="20" t="str">
        <f>IFERROR(__xludf.DUMMYFUNCTION("""COMPUTED_VALUE"""),"KIKE GARCÍA")</f>
        <v>KIKE GARCÍA</v>
      </c>
      <c r="C70" s="20" t="str">
        <f>IFERROR(__xludf.DUMMYFUNCTION("""COMPUTED_VALUE"""),"RCD ESPANYOL")</f>
        <v>RCD ESPANYOL</v>
      </c>
    </row>
    <row r="71">
      <c r="A71" s="20">
        <f>IFERROR(__xludf.DUMMYFUNCTION("""COMPUTED_VALUE"""),143.0)</f>
        <v>143</v>
      </c>
      <c r="B71" s="20" t="str">
        <f>IFERROR(__xludf.DUMMYFUNCTION("""COMPUTED_VALUE"""),"PUADO")</f>
        <v>PUADO</v>
      </c>
      <c r="C71" s="20" t="str">
        <f>IFERROR(__xludf.DUMMYFUNCTION("""COMPUTED_VALUE"""),"RCD ESPANYOL")</f>
        <v>RCD ESPANYOL</v>
      </c>
    </row>
    <row r="72">
      <c r="A72" s="20">
        <f>IFERROR(__xludf.DUMMYFUNCTION("""COMPUTED_VALUE"""),144.0)</f>
        <v>144</v>
      </c>
      <c r="B72" s="20" t="str">
        <f>IFERROR(__xludf.DUMMYFUNCTION("""COMPUTED_VALUE"""),"PERE MILLA")</f>
        <v>PERE MILLA</v>
      </c>
      <c r="C72" s="20" t="str">
        <f>IFERROR(__xludf.DUMMYFUNCTION("""COMPUTED_VALUE"""),"RCD ESPANYOL")</f>
        <v>RCD ESPANYOL</v>
      </c>
    </row>
    <row r="73">
      <c r="A73" s="20">
        <f>IFERROR(__xludf.DUMMYFUNCTION("""COMPUTED_VALUE"""),145.0)</f>
        <v>145</v>
      </c>
      <c r="B73" s="20" t="str">
        <f>IFERROR(__xludf.DUMMYFUNCTION("""COMPUTED_VALUE"""),"ESCUDO")</f>
        <v>ESCUDO</v>
      </c>
      <c r="C73" s="20" t="str">
        <f>IFERROR(__xludf.DUMMYFUNCTION("""COMPUTED_VALUE"""),"GETAFE CF")</f>
        <v>GETAFE CF</v>
      </c>
    </row>
    <row r="74">
      <c r="A74" s="20">
        <f>IFERROR(__xludf.DUMMYFUNCTION("""COMPUTED_VALUE"""),146.0)</f>
        <v>146</v>
      </c>
      <c r="B74" s="20" t="str">
        <f>IFERROR(__xludf.DUMMYFUNCTION("""COMPUTED_VALUE"""),"DAVID SORIA")</f>
        <v>DAVID SORIA</v>
      </c>
      <c r="C74" s="20" t="str">
        <f>IFERROR(__xludf.DUMMYFUNCTION("""COMPUTED_VALUE"""),"GETAFE CF")</f>
        <v>GETAFE CF</v>
      </c>
    </row>
    <row r="75">
      <c r="A75" s="20">
        <f>IFERROR(__xludf.DUMMYFUNCTION("""COMPUTED_VALUE"""),147.0)</f>
        <v>147</v>
      </c>
      <c r="B75" s="20" t="str">
        <f>IFERROR(__xludf.DUMMYFUNCTION("""COMPUTED_VALUE"""),"LETACEK")</f>
        <v>LETACEK</v>
      </c>
      <c r="C75" s="20" t="str">
        <f>IFERROR(__xludf.DUMMYFUNCTION("""COMPUTED_VALUE"""),"GETAFE CF")</f>
        <v>GETAFE CF</v>
      </c>
    </row>
    <row r="76">
      <c r="A76" s="20">
        <f>IFERROR(__xludf.DUMMYFUNCTION("""COMPUTED_VALUE"""),148.0)</f>
        <v>148</v>
      </c>
      <c r="B76" s="20" t="str">
        <f>IFERROR(__xludf.DUMMYFUNCTION("""COMPUTED_VALUE"""),"IGLESIAS")</f>
        <v>IGLESIAS</v>
      </c>
      <c r="C76" s="20" t="str">
        <f>IFERROR(__xludf.DUMMYFUNCTION("""COMPUTED_VALUE"""),"GETAFE CF")</f>
        <v>GETAFE CF</v>
      </c>
    </row>
    <row r="77">
      <c r="A77" s="20">
        <f>IFERROR(__xludf.DUMMYFUNCTION("""COMPUTED_VALUE"""),149.0)</f>
        <v>149</v>
      </c>
      <c r="B77" s="20" t="str">
        <f>IFERROR(__xludf.DUMMYFUNCTION("""COMPUTED_VALUE"""),"KIKO FEMENÍA")</f>
        <v>KIKO FEMENÍA</v>
      </c>
      <c r="C77" s="20" t="str">
        <f>IFERROR(__xludf.DUMMYFUNCTION("""COMPUTED_VALUE"""),"GETAFE CF")</f>
        <v>GETAFE CF</v>
      </c>
    </row>
    <row r="78">
      <c r="A78" s="20">
        <f>IFERROR(__xludf.DUMMYFUNCTION("""COMPUTED_VALUE"""),150.0)</f>
        <v>150</v>
      </c>
      <c r="B78" s="20" t="str">
        <f>IFERROR(__xludf.DUMMYFUNCTION("""COMPUTED_VALUE"""),"DJENÉ")</f>
        <v>DJENÉ</v>
      </c>
      <c r="C78" s="20" t="str">
        <f>IFERROR(__xludf.DUMMYFUNCTION("""COMPUTED_VALUE"""),"GETAFE CF")</f>
        <v>GETAFE CF</v>
      </c>
    </row>
    <row r="79">
      <c r="A79" s="20">
        <f>IFERROR(__xludf.DUMMYFUNCTION("""COMPUTED_VALUE"""),151.0)</f>
        <v>151</v>
      </c>
      <c r="B79" s="20" t="str">
        <f>IFERROR(__xludf.DUMMYFUNCTION("""COMPUTED_VALUE"""),"DOMINGOS DUARTE")</f>
        <v>DOMINGOS DUARTE</v>
      </c>
      <c r="C79" s="20" t="str">
        <f>IFERROR(__xludf.DUMMYFUNCTION("""COMPUTED_VALUE"""),"GETAFE CF")</f>
        <v>GETAFE CF</v>
      </c>
    </row>
    <row r="80">
      <c r="A80" s="20">
        <f>IFERROR(__xludf.DUMMYFUNCTION("""COMPUTED_VALUE"""),155.0)</f>
        <v>155</v>
      </c>
      <c r="B80" s="20" t="str">
        <f>IFERROR(__xludf.DUMMYFUNCTION("""COMPUTED_VALUE"""),"MARIO MARTÍN")</f>
        <v>MARIO MARTÍN</v>
      </c>
      <c r="C80" s="20" t="str">
        <f>IFERROR(__xludf.DUMMYFUNCTION("""COMPUTED_VALUE"""),"GETAFE CF")</f>
        <v>GETAFE CF</v>
      </c>
    </row>
    <row r="81">
      <c r="A81" s="20">
        <f>IFERROR(__xludf.DUMMYFUNCTION("""COMPUTED_VALUE"""),156.0)</f>
        <v>156</v>
      </c>
      <c r="B81" s="20" t="str">
        <f>IFERROR(__xludf.DUMMYFUNCTION("""COMPUTED_VALUE"""),"ARAMBARRI")</f>
        <v>ARAMBARRI</v>
      </c>
      <c r="C81" s="20" t="str">
        <f>IFERROR(__xludf.DUMMYFUNCTION("""COMPUTED_VALUE"""),"GETAFE CF")</f>
        <v>GETAFE CF</v>
      </c>
    </row>
    <row r="82">
      <c r="A82" s="20">
        <f>IFERROR(__xludf.DUMMYFUNCTION("""COMPUTED_VALUE"""),157.0)</f>
        <v>157</v>
      </c>
      <c r="B82" s="20" t="str">
        <f>IFERROR(__xludf.DUMMYFUNCTION("""COMPUTED_VALUE"""),"MILLA")</f>
        <v>MILLA</v>
      </c>
      <c r="C82" s="20" t="str">
        <f>IFERROR(__xludf.DUMMYFUNCTION("""COMPUTED_VALUE"""),"GETAFE CF")</f>
        <v>GETAFE CF</v>
      </c>
    </row>
    <row r="83">
      <c r="A83" s="20">
        <f>IFERROR(__xludf.DUMMYFUNCTION("""COMPUTED_VALUE"""),159.0)</f>
        <v>159</v>
      </c>
      <c r="B83" s="20" t="str">
        <f>IFERROR(__xludf.DUMMYFUNCTION("""COMPUTED_VALUE"""),"JAVI MUÑOZ")</f>
        <v>JAVI MUÑOZ</v>
      </c>
      <c r="C83" s="20" t="str">
        <f>IFERROR(__xludf.DUMMYFUNCTION("""COMPUTED_VALUE"""),"GETAFE CF")</f>
        <v>GETAFE CF</v>
      </c>
    </row>
    <row r="84">
      <c r="A84" s="20">
        <f>IFERROR(__xludf.DUMMYFUNCTION("""COMPUTED_VALUE"""),161.0)</f>
        <v>161</v>
      </c>
      <c r="B84" s="20" t="str">
        <f>IFERROR(__xludf.DUMMYFUNCTION("""COMPUTED_VALUE"""),"LISO")</f>
        <v>LISO</v>
      </c>
      <c r="C84" s="20" t="str">
        <f>IFERROR(__xludf.DUMMYFUNCTION("""COMPUTED_VALUE"""),"GETAFE CF")</f>
        <v>GETAFE CF</v>
      </c>
    </row>
    <row r="85">
      <c r="A85" s="20">
        <f>IFERROR(__xludf.DUMMYFUNCTION("""COMPUTED_VALUE"""),162.0)</f>
        <v>162</v>
      </c>
      <c r="B85" s="20" t="str">
        <f>IFERROR(__xludf.DUMMYFUNCTION("""COMPUTED_VALUE"""),"COBA")</f>
        <v>COBA</v>
      </c>
      <c r="C85" s="20" t="str">
        <f>IFERROR(__xludf.DUMMYFUNCTION("""COMPUTED_VALUE"""),"GETAFE CF")</f>
        <v>GETAFE CF</v>
      </c>
    </row>
    <row r="86">
      <c r="A86" s="20">
        <f>IFERROR(__xludf.DUMMYFUNCTION("""COMPUTED_VALUE"""),163.0)</f>
        <v>163</v>
      </c>
      <c r="B86" s="20" t="str">
        <f>IFERROR(__xludf.DUMMYFUNCTION("""COMPUTED_VALUE"""),"ESCUDO")</f>
        <v>ESCUDO</v>
      </c>
      <c r="C86" s="20" t="str">
        <f>IFERROR(__xludf.DUMMYFUNCTION("""COMPUTED_VALUE"""),"GIRONA FC")</f>
        <v>GIRONA FC</v>
      </c>
    </row>
    <row r="87">
      <c r="A87" s="20">
        <f>IFERROR(__xludf.DUMMYFUNCTION("""COMPUTED_VALUE"""),164.0)</f>
        <v>164</v>
      </c>
      <c r="B87" s="20" t="str">
        <f>IFERROR(__xludf.DUMMYFUNCTION("""COMPUTED_VALUE"""),"GAZZANIGA")</f>
        <v>GAZZANIGA</v>
      </c>
      <c r="C87" s="20" t="str">
        <f>IFERROR(__xludf.DUMMYFUNCTION("""COMPUTED_VALUE"""),"GIRONA FC")</f>
        <v>GIRONA FC</v>
      </c>
    </row>
    <row r="88">
      <c r="A88" s="20">
        <f>IFERROR(__xludf.DUMMYFUNCTION("""COMPUTED_VALUE"""),166.0)</f>
        <v>166</v>
      </c>
      <c r="B88" s="20" t="str">
        <f>IFERROR(__xludf.DUMMYFUNCTION("""COMPUTED_VALUE"""),"ARNAU")</f>
        <v>ARNAU</v>
      </c>
      <c r="C88" s="20" t="str">
        <f>IFERROR(__xludf.DUMMYFUNCTION("""COMPUTED_VALUE"""),"GIRONA FC")</f>
        <v>GIRONA FC</v>
      </c>
    </row>
    <row r="89">
      <c r="A89" s="20">
        <f>IFERROR(__xludf.DUMMYFUNCTION("""COMPUTED_VALUE"""),167.0)</f>
        <v>167</v>
      </c>
      <c r="B89" s="20" t="str">
        <f>IFERROR(__xludf.DUMMYFUNCTION("""COMPUTED_VALUE"""),"HUGO RINCÓN")</f>
        <v>HUGO RINCÓN</v>
      </c>
      <c r="C89" s="20" t="str">
        <f>IFERROR(__xludf.DUMMYFUNCTION("""COMPUTED_VALUE"""),"GIRONA FC")</f>
        <v>GIRONA FC</v>
      </c>
    </row>
    <row r="90">
      <c r="A90" s="20">
        <f>IFERROR(__xludf.DUMMYFUNCTION("""COMPUTED_VALUE"""),168.0)</f>
        <v>168</v>
      </c>
      <c r="B90" s="20" t="str">
        <f>IFERROR(__xludf.DUMMYFUNCTION("""COMPUTED_VALUE"""),"VITOR REIS")</f>
        <v>VITOR REIS</v>
      </c>
      <c r="C90" s="20" t="str">
        <f>IFERROR(__xludf.DUMMYFUNCTION("""COMPUTED_VALUE"""),"GIRONA FC")</f>
        <v>GIRONA FC</v>
      </c>
    </row>
    <row r="91">
      <c r="A91" s="20">
        <f>IFERROR(__xludf.DUMMYFUNCTION("""COMPUTED_VALUE"""),169.0)</f>
        <v>169</v>
      </c>
      <c r="B91" s="20" t="str">
        <f>IFERROR(__xludf.DUMMYFUNCTION("""COMPUTED_VALUE"""),"BLIND")</f>
        <v>BLIND</v>
      </c>
      <c r="C91" s="20" t="str">
        <f>IFERROR(__xludf.DUMMYFUNCTION("""COMPUTED_VALUE"""),"GIRONA FC")</f>
        <v>GIRONA FC</v>
      </c>
    </row>
    <row r="92">
      <c r="A92" s="20">
        <f>IFERROR(__xludf.DUMMYFUNCTION("""COMPUTED_VALUE"""),178.0)</f>
        <v>178</v>
      </c>
      <c r="B92" s="20" t="str">
        <f>IFERROR(__xludf.DUMMYFUNCTION("""COMPUTED_VALUE"""),"VANAT")</f>
        <v>VANAT</v>
      </c>
      <c r="C92" s="20" t="str">
        <f>IFERROR(__xludf.DUMMYFUNCTION("""COMPUTED_VALUE"""),"GIRONA FC")</f>
        <v>GIRONA FC</v>
      </c>
    </row>
    <row r="93">
      <c r="A93" s="20">
        <f>IFERROR(__xludf.DUMMYFUNCTION("""COMPUTED_VALUE"""),179.0)</f>
        <v>179</v>
      </c>
      <c r="B93" s="20" t="str">
        <f>IFERROR(__xludf.DUMMYFUNCTION("""COMPUTED_VALUE"""),"STUANI")</f>
        <v>STUANI</v>
      </c>
      <c r="C93" s="20" t="str">
        <f>IFERROR(__xludf.DUMMYFUNCTION("""COMPUTED_VALUE"""),"GIRONA FC")</f>
        <v>GIRONA FC</v>
      </c>
    </row>
    <row r="94">
      <c r="A94" s="20">
        <f>IFERROR(__xludf.DUMMYFUNCTION("""COMPUTED_VALUE"""),182.0)</f>
        <v>182</v>
      </c>
      <c r="B94" s="20" t="str">
        <f>IFERROR(__xludf.DUMMYFUNCTION("""COMPUTED_VALUE"""),"RYAN")</f>
        <v>RYAN</v>
      </c>
      <c r="C94" s="20" t="str">
        <f>IFERROR(__xludf.DUMMYFUNCTION("""COMPUTED_VALUE"""),"LEVANTE UD")</f>
        <v>LEVANTE UD</v>
      </c>
    </row>
    <row r="95">
      <c r="A95" s="20">
        <f>IFERROR(__xludf.DUMMYFUNCTION("""COMPUTED_VALUE"""),183.0)</f>
        <v>183</v>
      </c>
      <c r="B95" s="20" t="str">
        <f>IFERROR(__xludf.DUMMYFUNCTION("""COMPUTED_VALUE"""),"PABLO CAMPOS")</f>
        <v>PABLO CAMPOS</v>
      </c>
      <c r="C95" s="20" t="str">
        <f>IFERROR(__xludf.DUMMYFUNCTION("""COMPUTED_VALUE"""),"LEVANTE UD")</f>
        <v>LEVANTE UD</v>
      </c>
    </row>
    <row r="96">
      <c r="A96" s="20">
        <f>IFERROR(__xludf.DUMMYFUNCTION("""COMPUTED_VALUE"""),186.0)</f>
        <v>186</v>
      </c>
      <c r="B96" s="20" t="str">
        <f>IFERROR(__xludf.DUMMYFUNCTION("""COMPUTED_VALUE"""),"ELGEZABAL")</f>
        <v>ELGEZABAL</v>
      </c>
      <c r="C96" s="20" t="str">
        <f>IFERROR(__xludf.DUMMYFUNCTION("""COMPUTED_VALUE"""),"LEVANTE UD")</f>
        <v>LEVANTE UD</v>
      </c>
    </row>
    <row r="97">
      <c r="A97" s="20">
        <f>IFERROR(__xludf.DUMMYFUNCTION("""COMPUTED_VALUE"""),187.0)</f>
        <v>187</v>
      </c>
      <c r="B97" s="20" t="str">
        <f>IFERROR(__xludf.DUMMYFUNCTION("""COMPUTED_VALUE"""),"MATÍAS MORENO")</f>
        <v>MATÍAS MORENO</v>
      </c>
      <c r="C97" s="20" t="str">
        <f>IFERROR(__xludf.DUMMYFUNCTION("""COMPUTED_VALUE"""),"LEVANTE UD")</f>
        <v>LEVANTE UD</v>
      </c>
    </row>
    <row r="98">
      <c r="A98" s="20">
        <f>IFERROR(__xludf.DUMMYFUNCTION("""COMPUTED_VALUE"""),189.0)</f>
        <v>189</v>
      </c>
      <c r="B98" s="20" t="str">
        <f>IFERROR(__xludf.DUMMYFUNCTION("""COMPUTED_VALUE"""),"PAMPÍN")</f>
        <v>PAMPÍN</v>
      </c>
      <c r="C98" s="20" t="str">
        <f>IFERROR(__xludf.DUMMYFUNCTION("""COMPUTED_VALUE"""),"LEVANTE UD")</f>
        <v>LEVANTE UD</v>
      </c>
    </row>
    <row r="99">
      <c r="A99" s="20">
        <f>IFERROR(__xludf.DUMMYFUNCTION("""COMPUTED_VALUE"""),191.0)</f>
        <v>191</v>
      </c>
      <c r="B99" s="20" t="str">
        <f>IFERROR(__xludf.DUMMYFUNCTION("""COMPUTED_VALUE"""),"PABLO MARTÍNEZ")</f>
        <v>PABLO MARTÍNEZ</v>
      </c>
      <c r="C99" s="20" t="str">
        <f>IFERROR(__xludf.DUMMYFUNCTION("""COMPUTED_VALUE"""),"LEVANTE UD")</f>
        <v>LEVANTE UD</v>
      </c>
    </row>
    <row r="100">
      <c r="A100" s="20">
        <f>IFERROR(__xludf.DUMMYFUNCTION("""COMPUTED_VALUE"""),196.0)</f>
        <v>196</v>
      </c>
      <c r="B100" s="20" t="str">
        <f>IFERROR(__xludf.DUMMYFUNCTION("""COMPUTED_VALUE"""),"BRUGUÉ")</f>
        <v>BRUGUÉ</v>
      </c>
      <c r="C100" s="20" t="str">
        <f>IFERROR(__xludf.DUMMYFUNCTION("""COMPUTED_VALUE"""),"LEVANTE UD")</f>
        <v>LEVANTE UD</v>
      </c>
    </row>
    <row r="101">
      <c r="A101" s="20">
        <f>IFERROR(__xludf.DUMMYFUNCTION("""COMPUTED_VALUE"""),198.0)</f>
        <v>198</v>
      </c>
      <c r="B101" s="20" t="str">
        <f>IFERROR(__xludf.DUMMYFUNCTION("""COMPUTED_VALUE"""),"ETTA EYONG")</f>
        <v>ETTA EYONG</v>
      </c>
      <c r="C101" s="20" t="str">
        <f>IFERROR(__xludf.DUMMYFUNCTION("""COMPUTED_VALUE"""),"LEVANTE UD")</f>
        <v>LEVANTE UD</v>
      </c>
    </row>
    <row r="102">
      <c r="A102" s="20">
        <f>IFERROR(__xludf.DUMMYFUNCTION("""COMPUTED_VALUE"""),200.0)</f>
        <v>200</v>
      </c>
      <c r="B102" s="20" t="str">
        <f>IFERROR(__xludf.DUMMYFUNCTION("""COMPUTED_VALUE"""),"COURTOIS")</f>
        <v>COURTOIS</v>
      </c>
      <c r="C102" s="20" t="str">
        <f>IFERROR(__xludf.DUMMYFUNCTION("""COMPUTED_VALUE"""),"REAL MADRID")</f>
        <v>REAL MADRID</v>
      </c>
    </row>
    <row r="103">
      <c r="A103" s="20">
        <f>IFERROR(__xludf.DUMMYFUNCTION("""COMPUTED_VALUE"""),201.0)</f>
        <v>201</v>
      </c>
      <c r="B103" s="20" t="str">
        <f>IFERROR(__xludf.DUMMYFUNCTION("""COMPUTED_VALUE"""),"LUNIN")</f>
        <v>LUNIN</v>
      </c>
      <c r="C103" s="20" t="str">
        <f>IFERROR(__xludf.DUMMYFUNCTION("""COMPUTED_VALUE"""),"REAL MADRID")</f>
        <v>REAL MADRID</v>
      </c>
    </row>
    <row r="104">
      <c r="A104" s="20">
        <f>IFERROR(__xludf.DUMMYFUNCTION("""COMPUTED_VALUE"""),205.0)</f>
        <v>205</v>
      </c>
      <c r="B104" s="20" t="str">
        <f>IFERROR(__xludf.DUMMYFUNCTION("""COMPUTED_VALUE"""),"HUIJSEN")</f>
        <v>HUIJSEN</v>
      </c>
      <c r="C104" s="20" t="str">
        <f>IFERROR(__xludf.DUMMYFUNCTION("""COMPUTED_VALUE"""),"REAL MADRID")</f>
        <v>REAL MADRID</v>
      </c>
    </row>
    <row r="105">
      <c r="A105" s="20">
        <f>IFERROR(__xludf.DUMMYFUNCTION("""COMPUTED_VALUE"""),214.0)</f>
        <v>214</v>
      </c>
      <c r="B105" s="20" t="str">
        <f>IFERROR(__xludf.DUMMYFUNCTION("""COMPUTED_VALUE"""),"MBAPPÉ")</f>
        <v>MBAPPÉ</v>
      </c>
      <c r="C105" s="20" t="str">
        <f>IFERROR(__xludf.DUMMYFUNCTION("""COMPUTED_VALUE"""),"REAL MADRID")</f>
        <v>REAL MADRID</v>
      </c>
    </row>
    <row r="106">
      <c r="A106" s="20">
        <f>IFERROR(__xludf.DUMMYFUNCTION("""COMPUTED_VALUE"""),215.0)</f>
        <v>215</v>
      </c>
      <c r="B106" s="20" t="str">
        <f>IFERROR(__xludf.DUMMYFUNCTION("""COMPUTED_VALUE"""),"GONZALO")</f>
        <v>GONZALO</v>
      </c>
      <c r="C106" s="20" t="str">
        <f>IFERROR(__xludf.DUMMYFUNCTION("""COMPUTED_VALUE"""),"REAL MADRID")</f>
        <v>REAL MADRID</v>
      </c>
    </row>
    <row r="107">
      <c r="A107" s="20">
        <f>IFERROR(__xludf.DUMMYFUNCTION("""COMPUTED_VALUE"""),217.0)</f>
        <v>217</v>
      </c>
      <c r="B107" s="20" t="str">
        <f>IFERROR(__xludf.DUMMYFUNCTION("""COMPUTED_VALUE"""),"ESCUDO")</f>
        <v>ESCUDO</v>
      </c>
      <c r="C107" s="20" t="str">
        <f>IFERROR(__xludf.DUMMYFUNCTION("""COMPUTED_VALUE"""),"RCD MALLORCA")</f>
        <v>RCD MALLORCA</v>
      </c>
    </row>
    <row r="108">
      <c r="A108" s="20">
        <f>IFERROR(__xludf.DUMMYFUNCTION("""COMPUTED_VALUE"""),218.0)</f>
        <v>218</v>
      </c>
      <c r="B108" s="20" t="str">
        <f>IFERROR(__xludf.DUMMYFUNCTION("""COMPUTED_VALUE"""),"LEO ROMÁN")</f>
        <v>LEO ROMÁN</v>
      </c>
      <c r="C108" s="20" t="str">
        <f>IFERROR(__xludf.DUMMYFUNCTION("""COMPUTED_VALUE"""),"RCD MALLORCA")</f>
        <v>RCD MALLORCA</v>
      </c>
    </row>
    <row r="109">
      <c r="A109" s="20">
        <f>IFERROR(__xludf.DUMMYFUNCTION("""COMPUTED_VALUE"""),224.0)</f>
        <v>224</v>
      </c>
      <c r="B109" s="20" t="str">
        <f>IFERROR(__xludf.DUMMYFUNCTION("""COMPUTED_VALUE"""),"KUMBULLA")</f>
        <v>KUMBULLA</v>
      </c>
      <c r="C109" s="20" t="str">
        <f>IFERROR(__xludf.DUMMYFUNCTION("""COMPUTED_VALUE"""),"RCD MALLORCA")</f>
        <v>RCD MALLORCA</v>
      </c>
    </row>
    <row r="110">
      <c r="A110" s="20">
        <f>IFERROR(__xludf.DUMMYFUNCTION("""COMPUTED_VALUE"""),228.0)</f>
        <v>228</v>
      </c>
      <c r="B110" s="20" t="str">
        <f>IFERROR(__xludf.DUMMYFUNCTION("""COMPUTED_VALUE"""),"DARDER")</f>
        <v>DARDER</v>
      </c>
      <c r="C110" s="20" t="str">
        <f>IFERROR(__xludf.DUMMYFUNCTION("""COMPUTED_VALUE"""),"RCD MALLORCA")</f>
        <v>RCD MALLORCA</v>
      </c>
    </row>
    <row r="111">
      <c r="A111" s="20">
        <f>IFERROR(__xludf.DUMMYFUNCTION("""COMPUTED_VALUE"""),229.0)</f>
        <v>229</v>
      </c>
      <c r="B111" s="20" t="str">
        <f>IFERROR(__xludf.DUMMYFUNCTION("""COMPUTED_VALUE"""),"MORLANES")</f>
        <v>MORLANES</v>
      </c>
      <c r="C111" s="20" t="str">
        <f>IFERROR(__xludf.DUMMYFUNCTION("""COMPUTED_VALUE"""),"RCD MALLORCA")</f>
        <v>RCD MALLORCA</v>
      </c>
    </row>
    <row r="112">
      <c r="A112" s="20">
        <f>IFERROR(__xludf.DUMMYFUNCTION("""COMPUTED_VALUE"""),230.0)</f>
        <v>230</v>
      </c>
      <c r="B112" s="20" t="str">
        <f>IFERROR(__xludf.DUMMYFUNCTION("""COMPUTED_VALUE"""),"PABLO TORRE")</f>
        <v>PABLO TORRE</v>
      </c>
      <c r="C112" s="20" t="str">
        <f>IFERROR(__xludf.DUMMYFUNCTION("""COMPUTED_VALUE"""),"RCD MALLORCA")</f>
        <v>RCD MALLORCA</v>
      </c>
    </row>
    <row r="113">
      <c r="A113" s="20">
        <f>IFERROR(__xludf.DUMMYFUNCTION("""COMPUTED_VALUE"""),231.0)</f>
        <v>231</v>
      </c>
      <c r="B113" s="20" t="str">
        <f>IFERROR(__xludf.DUMMYFUNCTION("""COMPUTED_VALUE"""),"ASANO")</f>
        <v>ASANO</v>
      </c>
      <c r="C113" s="20" t="str">
        <f>IFERROR(__xludf.DUMMYFUNCTION("""COMPUTED_VALUE"""),"RCD MALLORCA")</f>
        <v>RCD MALLORCA</v>
      </c>
    </row>
    <row r="114">
      <c r="A114" s="20">
        <f>IFERROR(__xludf.DUMMYFUNCTION("""COMPUTED_VALUE"""),232.0)</f>
        <v>232</v>
      </c>
      <c r="B114" s="20" t="str">
        <f>IFERROR(__xludf.DUMMYFUNCTION("""COMPUTED_VALUE"""),"MURIQI")</f>
        <v>MURIQI</v>
      </c>
      <c r="C114" s="20" t="str">
        <f>IFERROR(__xludf.DUMMYFUNCTION("""COMPUTED_VALUE"""),"RCD MALLORCA")</f>
        <v>RCD MALLORCA</v>
      </c>
    </row>
    <row r="115">
      <c r="A115" s="20">
        <f>IFERROR(__xludf.DUMMYFUNCTION("""COMPUTED_VALUE"""),233.0)</f>
        <v>233</v>
      </c>
      <c r="B115" s="20" t="str">
        <f>IFERROR(__xludf.DUMMYFUNCTION("""COMPUTED_VALUE"""),"MATEO JOSEPH")</f>
        <v>MATEO JOSEPH</v>
      </c>
      <c r="C115" s="20" t="str">
        <f>IFERROR(__xludf.DUMMYFUNCTION("""COMPUTED_VALUE"""),"RCD MALLORCA")</f>
        <v>RCD MALLORCA</v>
      </c>
    </row>
    <row r="116">
      <c r="A116" s="20">
        <f>IFERROR(__xludf.DUMMYFUNCTION("""COMPUTED_VALUE"""),239.0)</f>
        <v>239</v>
      </c>
      <c r="B116" s="20" t="str">
        <f>IFERROR(__xludf.DUMMYFUNCTION("""COMPUTED_VALUE"""),"BOYOMO")</f>
        <v>BOYOMO</v>
      </c>
      <c r="C116" s="20" t="str">
        <f>IFERROR(__xludf.DUMMYFUNCTION("""COMPUTED_VALUE"""),"CA OSASUNA")</f>
        <v>CA OSASUNA</v>
      </c>
    </row>
    <row r="117">
      <c r="A117" s="20">
        <f>IFERROR(__xludf.DUMMYFUNCTION("""COMPUTED_VALUE"""),241.0)</f>
        <v>241</v>
      </c>
      <c r="B117" s="20" t="str">
        <f>IFERROR(__xludf.DUMMYFUNCTION("""COMPUTED_VALUE"""),"HERRANDO")</f>
        <v>HERRANDO</v>
      </c>
      <c r="C117" s="20" t="str">
        <f>IFERROR(__xludf.DUMMYFUNCTION("""COMPUTED_VALUE"""),"CA OSASUNA")</f>
        <v>CA OSASUNA</v>
      </c>
    </row>
    <row r="118">
      <c r="A118" s="20">
        <f>IFERROR(__xludf.DUMMYFUNCTION("""COMPUTED_VALUE"""),242.0)</f>
        <v>242</v>
      </c>
      <c r="B118" s="20" t="str">
        <f>IFERROR(__xludf.DUMMYFUNCTION("""COMPUTED_VALUE"""),"JUAN CRUZ")</f>
        <v>JUAN CRUZ</v>
      </c>
      <c r="C118" s="20" t="str">
        <f>IFERROR(__xludf.DUMMYFUNCTION("""COMPUTED_VALUE"""),"CA OSASUNA")</f>
        <v>CA OSASUNA</v>
      </c>
    </row>
    <row r="119">
      <c r="A119" s="20">
        <f>IFERROR(__xludf.DUMMYFUNCTION("""COMPUTED_VALUE"""),247.0)</f>
        <v>247</v>
      </c>
      <c r="B119" s="20" t="str">
        <f>IFERROR(__xludf.DUMMYFUNCTION("""COMPUTED_VALUE"""),"RUBÉN GARCÍA")</f>
        <v>RUBÉN GARCÍA</v>
      </c>
      <c r="C119" s="20" t="str">
        <f>IFERROR(__xludf.DUMMYFUNCTION("""COMPUTED_VALUE"""),"CA OSASUNA")</f>
        <v>CA OSASUNA</v>
      </c>
    </row>
    <row r="120">
      <c r="A120" s="20">
        <f>IFERROR(__xludf.DUMMYFUNCTION("""COMPUTED_VALUE"""),249.0)</f>
        <v>249</v>
      </c>
      <c r="B120" s="20" t="str">
        <f>IFERROR(__xludf.DUMMYFUNCTION("""COMPUTED_VALUE"""),"VÍCTOR MUÑOZ")</f>
        <v>VÍCTOR MUÑOZ</v>
      </c>
      <c r="C120" s="20" t="str">
        <f>IFERROR(__xludf.DUMMYFUNCTION("""COMPUTED_VALUE"""),"CA OSASUNA")</f>
        <v>CA OSASUNA</v>
      </c>
    </row>
    <row r="121">
      <c r="A121" s="20">
        <f>IFERROR(__xludf.DUMMYFUNCTION("""COMPUTED_VALUE"""),251.0)</f>
        <v>251</v>
      </c>
      <c r="B121" s="20" t="str">
        <f>IFERROR(__xludf.DUMMYFUNCTION("""COMPUTED_VALUE"""),"BUDIMIR")</f>
        <v>BUDIMIR</v>
      </c>
      <c r="C121" s="20" t="str">
        <f>IFERROR(__xludf.DUMMYFUNCTION("""COMPUTED_VALUE"""),"CA OSASUNA")</f>
        <v>CA OSASUNA</v>
      </c>
    </row>
    <row r="122">
      <c r="A122" s="20">
        <f>IFERROR(__xludf.DUMMYFUNCTION("""COMPUTED_VALUE"""),252.0)</f>
        <v>252</v>
      </c>
      <c r="B122" s="20" t="str">
        <f>IFERROR(__xludf.DUMMYFUNCTION("""COMPUTED_VALUE"""),"BECKER")</f>
        <v>BECKER</v>
      </c>
      <c r="C122" s="20" t="str">
        <f>IFERROR(__xludf.DUMMYFUNCTION("""COMPUTED_VALUE"""),"CA OSASUNA")</f>
        <v>CA OSASUNA</v>
      </c>
    </row>
    <row r="123">
      <c r="A123" s="20">
        <f>IFERROR(__xludf.DUMMYFUNCTION("""COMPUTED_VALUE"""),253.0)</f>
        <v>253</v>
      </c>
      <c r="B123" s="20" t="str">
        <f>IFERROR(__xludf.DUMMYFUNCTION("""COMPUTED_VALUE"""),"ESCUDO")</f>
        <v>ESCUDO</v>
      </c>
      <c r="C123" s="20" t="str">
        <f>IFERROR(__xludf.DUMMYFUNCTION("""COMPUTED_VALUE"""),"REAL OVIEDO")</f>
        <v>REAL OVIEDO</v>
      </c>
    </row>
    <row r="124">
      <c r="A124" s="20">
        <f>IFERROR(__xludf.DUMMYFUNCTION("""COMPUTED_VALUE"""),254.0)</f>
        <v>254</v>
      </c>
      <c r="B124" s="20" t="str">
        <f>IFERROR(__xludf.DUMMYFUNCTION("""COMPUTED_VALUE"""),"AARON ESCANDELL")</f>
        <v>AARON ESCANDELL</v>
      </c>
      <c r="C124" s="20" t="str">
        <f>IFERROR(__xludf.DUMMYFUNCTION("""COMPUTED_VALUE"""),"REAL OVIEDO")</f>
        <v>REAL OVIEDO</v>
      </c>
    </row>
    <row r="125">
      <c r="A125" s="20">
        <f>IFERROR(__xludf.DUMMYFUNCTION("""COMPUTED_VALUE"""),255.0)</f>
        <v>255</v>
      </c>
      <c r="B125" s="20" t="str">
        <f>IFERROR(__xludf.DUMMYFUNCTION("""COMPUTED_VALUE"""),"MOLDOVAN")</f>
        <v>MOLDOVAN</v>
      </c>
      <c r="C125" s="20" t="str">
        <f>IFERROR(__xludf.DUMMYFUNCTION("""COMPUTED_VALUE"""),"REAL OVIEDO")</f>
        <v>REAL OVIEDO</v>
      </c>
    </row>
    <row r="126">
      <c r="A126" s="20">
        <f>IFERROR(__xludf.DUMMYFUNCTION("""COMPUTED_VALUE"""),260.0)</f>
        <v>260</v>
      </c>
      <c r="B126" s="20" t="str">
        <f>IFERROR(__xludf.DUMMYFUNCTION("""COMPUTED_VALUE"""),"RAHIM ALHASSANE")</f>
        <v>RAHIM ALHASSANE</v>
      </c>
      <c r="C126" s="20" t="str">
        <f>IFERROR(__xludf.DUMMYFUNCTION("""COMPUTED_VALUE"""),"REAL OVIEDO")</f>
        <v>REAL OVIEDO</v>
      </c>
    </row>
    <row r="127">
      <c r="A127" s="20">
        <f>IFERROR(__xludf.DUMMYFUNCTION("""COMPUTED_VALUE"""),261.0)</f>
        <v>261</v>
      </c>
      <c r="B127" s="20" t="str">
        <f>IFERROR(__xludf.DUMMYFUNCTION("""COMPUTED_VALUE"""),"COLOMBATTO")</f>
        <v>COLOMBATTO</v>
      </c>
      <c r="C127" s="20" t="str">
        <f>IFERROR(__xludf.DUMMYFUNCTION("""COMPUTED_VALUE"""),"REAL OVIEDO")</f>
        <v>REAL OVIEDO</v>
      </c>
    </row>
    <row r="128">
      <c r="A128" s="20">
        <f>IFERROR(__xludf.DUMMYFUNCTION("""COMPUTED_VALUE"""),263.0)</f>
        <v>263</v>
      </c>
      <c r="B128" s="20" t="str">
        <f>IFERROR(__xludf.DUMMYFUNCTION("""COMPUTED_VALUE"""),"DENDONCKER")</f>
        <v>DENDONCKER</v>
      </c>
      <c r="C128" s="20" t="str">
        <f>IFERROR(__xludf.DUMMYFUNCTION("""COMPUTED_VALUE"""),"REAL OVIEDO")</f>
        <v>REAL OVIEDO</v>
      </c>
    </row>
    <row r="129">
      <c r="A129" s="20">
        <f>IFERROR(__xludf.DUMMYFUNCTION("""COMPUTED_VALUE"""),266.0)</f>
        <v>266</v>
      </c>
      <c r="B129" s="20" t="str">
        <f>IFERROR(__xludf.DUMMYFUNCTION("""COMPUTED_VALUE"""),"HASSAN")</f>
        <v>HASSAN</v>
      </c>
      <c r="C129" s="20" t="str">
        <f>IFERROR(__xludf.DUMMYFUNCTION("""COMPUTED_VALUE"""),"REAL OVIEDO")</f>
        <v>REAL OVIEDO</v>
      </c>
    </row>
    <row r="130">
      <c r="A130" s="20">
        <f>IFERROR(__xludf.DUMMYFUNCTION("""COMPUTED_VALUE"""),268.0)</f>
        <v>268</v>
      </c>
      <c r="B130" s="20" t="str">
        <f>IFERROR(__xludf.DUMMYFUNCTION("""COMPUTED_VALUE"""),"ILYAS CHAIRA")</f>
        <v>ILYAS CHAIRA</v>
      </c>
      <c r="C130" s="20" t="str">
        <f>IFERROR(__xludf.DUMMYFUNCTION("""COMPUTED_VALUE"""),"REAL OVIEDO")</f>
        <v>REAL OVIEDO</v>
      </c>
    </row>
    <row r="131">
      <c r="A131" s="20">
        <f>IFERROR(__xludf.DUMMYFUNCTION("""COMPUTED_VALUE"""),271.0)</f>
        <v>271</v>
      </c>
      <c r="B131" s="20" t="str">
        <f>IFERROR(__xludf.DUMMYFUNCTION("""COMPUTED_VALUE"""),"ESCUDO")</f>
        <v>ESCUDO</v>
      </c>
      <c r="C131" s="20" t="str">
        <f>IFERROR(__xludf.DUMMYFUNCTION("""COMPUTED_VALUE"""),"RAYO VALLECANO")</f>
        <v>RAYO VALLECANO</v>
      </c>
    </row>
    <row r="132">
      <c r="A132" s="20">
        <f>IFERROR(__xludf.DUMMYFUNCTION("""COMPUTED_VALUE"""),273.0)</f>
        <v>273</v>
      </c>
      <c r="B132" s="20" t="str">
        <f>IFERROR(__xludf.DUMMYFUNCTION("""COMPUTED_VALUE"""),"CÁRDENAS")</f>
        <v>CÁRDENAS</v>
      </c>
      <c r="C132" s="20" t="str">
        <f>IFERROR(__xludf.DUMMYFUNCTION("""COMPUTED_VALUE"""),"RAYO VALLECANO")</f>
        <v>RAYO VALLECANO</v>
      </c>
    </row>
    <row r="133">
      <c r="A133" s="20">
        <f>IFERROR(__xludf.DUMMYFUNCTION("""COMPUTED_VALUE"""),274.0)</f>
        <v>274</v>
      </c>
      <c r="B133" s="20" t="str">
        <f>IFERROR(__xludf.DUMMYFUNCTION("""COMPUTED_VALUE"""),"RATIU")</f>
        <v>RATIU</v>
      </c>
      <c r="C133" s="20" t="str">
        <f>IFERROR(__xludf.DUMMYFUNCTION("""COMPUTED_VALUE"""),"RAYO VALLECANO")</f>
        <v>RAYO VALLECANO</v>
      </c>
    </row>
    <row r="134">
      <c r="A134" s="20">
        <f>IFERROR(__xludf.DUMMYFUNCTION("""COMPUTED_VALUE"""),276.0)</f>
        <v>276</v>
      </c>
      <c r="B134" s="20" t="str">
        <f>IFERROR(__xludf.DUMMYFUNCTION("""COMPUTED_VALUE"""),"LEJEUNE")</f>
        <v>LEJEUNE</v>
      </c>
      <c r="C134" s="20" t="str">
        <f>IFERROR(__xludf.DUMMYFUNCTION("""COMPUTED_VALUE"""),"RAYO VALLECANO")</f>
        <v>RAYO VALLECANO</v>
      </c>
    </row>
    <row r="135">
      <c r="A135" s="20">
        <f>IFERROR(__xludf.DUMMYFUNCTION("""COMPUTED_VALUE"""),279.0)</f>
        <v>279</v>
      </c>
      <c r="B135" s="20" t="str">
        <f>IFERROR(__xludf.DUMMYFUNCTION("""COMPUTED_VALUE"""),"PATHÉ CISS")</f>
        <v>PATHÉ CISS</v>
      </c>
      <c r="C135" s="20" t="str">
        <f>IFERROR(__xludf.DUMMYFUNCTION("""COMPUTED_VALUE"""),"RAYO VALLECANO")</f>
        <v>RAYO VALLECANO</v>
      </c>
    </row>
    <row r="136">
      <c r="A136" s="20">
        <f>IFERROR(__xludf.DUMMYFUNCTION("""COMPUTED_VALUE"""),280.0)</f>
        <v>280</v>
      </c>
      <c r="B136" s="20" t="str">
        <f>IFERROR(__xludf.DUMMYFUNCTION("""COMPUTED_VALUE"""),"UNAI LOPEZ")</f>
        <v>UNAI LOPEZ</v>
      </c>
      <c r="C136" s="20" t="str">
        <f>IFERROR(__xludf.DUMMYFUNCTION("""COMPUTED_VALUE"""),"RAYO VALLECANO")</f>
        <v>RAYO VALLECANO</v>
      </c>
    </row>
    <row r="137">
      <c r="A137" s="20">
        <f>IFERROR(__xludf.DUMMYFUNCTION("""COMPUTED_VALUE"""),282.0)</f>
        <v>282</v>
      </c>
      <c r="B137" s="20" t="str">
        <f>IFERROR(__xludf.DUMMYFUNCTION("""COMPUTED_VALUE"""),"ISI")</f>
        <v>ISI</v>
      </c>
      <c r="C137" s="20" t="str">
        <f>IFERROR(__xludf.DUMMYFUNCTION("""COMPUTED_VALUE"""),"RAYO VALLECANO")</f>
        <v>RAYO VALLECANO</v>
      </c>
    </row>
    <row r="138">
      <c r="A138" s="20">
        <f>IFERROR(__xludf.DUMMYFUNCTION("""COMPUTED_VALUE"""),285.0)</f>
        <v>285</v>
      </c>
      <c r="B138" s="20" t="str">
        <f>IFERROR(__xludf.DUMMYFUNCTION("""COMPUTED_VALUE"""),"FRAN PÉREZ")</f>
        <v>FRAN PÉREZ</v>
      </c>
      <c r="C138" s="20" t="str">
        <f>IFERROR(__xludf.DUMMYFUNCTION("""COMPUTED_VALUE"""),"RAYO VALLECANO")</f>
        <v>RAYO VALLECANO</v>
      </c>
    </row>
    <row r="139">
      <c r="A139" s="20">
        <f>IFERROR(__xludf.DUMMYFUNCTION("""COMPUTED_VALUE"""),286.0)</f>
        <v>286</v>
      </c>
      <c r="B139" s="20" t="str">
        <f>IFERROR(__xludf.DUMMYFUNCTION("""COMPUTED_VALUE"""),"CAMELLO")</f>
        <v>CAMELLO</v>
      </c>
      <c r="C139" s="20" t="str">
        <f>IFERROR(__xludf.DUMMYFUNCTION("""COMPUTED_VALUE"""),"RAYO VALLECANO")</f>
        <v>RAYO VALLECANO</v>
      </c>
    </row>
    <row r="140">
      <c r="A140" s="20">
        <f>IFERROR(__xludf.DUMMYFUNCTION("""COMPUTED_VALUE"""),288.0)</f>
        <v>288</v>
      </c>
      <c r="B140" s="20" t="str">
        <f>IFERROR(__xludf.DUMMYFUNCTION("""COMPUTED_VALUE"""),"ALEMAO")</f>
        <v>ALEMAO</v>
      </c>
      <c r="C140" s="20" t="str">
        <f>IFERROR(__xludf.DUMMYFUNCTION("""COMPUTED_VALUE"""),"RAYO VALLECANO")</f>
        <v>RAYO VALLECANO</v>
      </c>
    </row>
    <row r="141">
      <c r="A141" s="20">
        <f>IFERROR(__xludf.DUMMYFUNCTION("""COMPUTED_VALUE"""),289.0)</f>
        <v>289</v>
      </c>
      <c r="B141" s="20" t="str">
        <f>IFERROR(__xludf.DUMMYFUNCTION("""COMPUTED_VALUE"""),"ESCUDO")</f>
        <v>ESCUDO</v>
      </c>
      <c r="C141" s="20" t="str">
        <f>IFERROR(__xludf.DUMMYFUNCTION("""COMPUTED_VALUE"""),"REAL SOCIEDAD")</f>
        <v>REAL SOCIEDAD</v>
      </c>
    </row>
    <row r="142">
      <c r="A142" s="20">
        <f>IFERROR(__xludf.DUMMYFUNCTION("""COMPUTED_VALUE"""),294.0)</f>
        <v>294</v>
      </c>
      <c r="B142" s="20" t="str">
        <f>IFERROR(__xludf.DUMMYFUNCTION("""COMPUTED_VALUE"""),"ZUBELDIA")</f>
        <v>ZUBELDIA</v>
      </c>
      <c r="C142" s="20" t="str">
        <f>IFERROR(__xludf.DUMMYFUNCTION("""COMPUTED_VALUE"""),"REAL SOCIEDAD")</f>
        <v>REAL SOCIEDAD</v>
      </c>
    </row>
    <row r="143">
      <c r="A143" s="20">
        <f>IFERROR(__xludf.DUMMYFUNCTION("""COMPUTED_VALUE"""),296.0)</f>
        <v>296</v>
      </c>
      <c r="B143" s="20" t="str">
        <f>IFERROR(__xludf.DUMMYFUNCTION("""COMPUTED_VALUE"""),"SERGIO GÓMEZ")</f>
        <v>SERGIO GÓMEZ</v>
      </c>
      <c r="C143" s="20" t="str">
        <f>IFERROR(__xludf.DUMMYFUNCTION("""COMPUTED_VALUE"""),"REAL SOCIEDAD")</f>
        <v>REAL SOCIEDAD</v>
      </c>
    </row>
    <row r="144">
      <c r="A144" s="20">
        <f>IFERROR(__xludf.DUMMYFUNCTION("""COMPUTED_VALUE"""),297.0)</f>
        <v>297</v>
      </c>
      <c r="B144" s="20" t="str">
        <f>IFERROR(__xludf.DUMMYFUNCTION("""COMPUTED_VALUE"""),"GORROTXATEGI")</f>
        <v>GORROTXATEGI</v>
      </c>
      <c r="C144" s="20" t="str">
        <f>IFERROR(__xludf.DUMMYFUNCTION("""COMPUTED_VALUE"""),"REAL SOCIEDAD")</f>
        <v>REAL SOCIEDAD</v>
      </c>
    </row>
    <row r="145">
      <c r="A145" s="20">
        <f>IFERROR(__xludf.DUMMYFUNCTION("""COMPUTED_VALUE"""),300.0)</f>
        <v>300</v>
      </c>
      <c r="B145" s="20" t="str">
        <f>IFERROR(__xludf.DUMMYFUNCTION("""COMPUTED_VALUE"""),"CARLOS SOLER")</f>
        <v>CARLOS SOLER</v>
      </c>
      <c r="C145" s="20" t="str">
        <f>IFERROR(__xludf.DUMMYFUNCTION("""COMPUTED_VALUE"""),"REAL SOCIEDAD")</f>
        <v>REAL SOCIEDAD</v>
      </c>
    </row>
    <row r="146">
      <c r="A146" s="20">
        <f>IFERROR(__xludf.DUMMYFUNCTION("""COMPUTED_VALUE"""),301.0)</f>
        <v>301</v>
      </c>
      <c r="B146" s="20" t="str">
        <f>IFERROR(__xludf.DUMMYFUNCTION("""COMPUTED_VALUE"""),"BRAIS MÉNDEZ")</f>
        <v>BRAIS MÉNDEZ</v>
      </c>
      <c r="C146" s="20" t="str">
        <f>IFERROR(__xludf.DUMMYFUNCTION("""COMPUTED_VALUE"""),"REAL SOCIEDAD")</f>
        <v>REAL SOCIEDAD</v>
      </c>
    </row>
    <row r="147">
      <c r="A147" s="20">
        <f>IFERROR(__xludf.DUMMYFUNCTION("""COMPUTED_VALUE"""),305.0)</f>
        <v>305</v>
      </c>
      <c r="B147" s="20" t="str">
        <f>IFERROR(__xludf.DUMMYFUNCTION("""COMPUTED_VALUE"""),"ÓSKARSSON")</f>
        <v>ÓSKARSSON</v>
      </c>
      <c r="C147" s="20" t="str">
        <f>IFERROR(__xludf.DUMMYFUNCTION("""COMPUTED_VALUE"""),"REAL SOCIEDAD")</f>
        <v>REAL SOCIEDAD</v>
      </c>
    </row>
    <row r="148">
      <c r="A148" s="20">
        <f>IFERROR(__xludf.DUMMYFUNCTION("""COMPUTED_VALUE"""),308.0)</f>
        <v>308</v>
      </c>
      <c r="B148" s="20" t="str">
        <f>IFERROR(__xludf.DUMMYFUNCTION("""COMPUTED_VALUE"""),"VLACHODIMOS")</f>
        <v>VLACHODIMOS</v>
      </c>
      <c r="C148" s="20" t="str">
        <f>IFERROR(__xludf.DUMMYFUNCTION("""COMPUTED_VALUE"""),"SEVILLA FC")</f>
        <v>SEVILLA FC</v>
      </c>
    </row>
    <row r="149">
      <c r="A149" s="20">
        <f>IFERROR(__xludf.DUMMYFUNCTION("""COMPUTED_VALUE"""),310.0)</f>
        <v>310</v>
      </c>
      <c r="B149" s="20" t="str">
        <f>IFERROR(__xludf.DUMMYFUNCTION("""COMPUTED_VALUE"""),"CARMONA")</f>
        <v>CARMONA</v>
      </c>
      <c r="C149" s="20" t="str">
        <f>IFERROR(__xludf.DUMMYFUNCTION("""COMPUTED_VALUE"""),"SEVILLA FC")</f>
        <v>SEVILLA FC</v>
      </c>
    </row>
    <row r="150">
      <c r="A150" s="20">
        <f>IFERROR(__xludf.DUMMYFUNCTION("""COMPUTED_VALUE"""),312.0)</f>
        <v>312</v>
      </c>
      <c r="B150" s="20" t="str">
        <f>IFERROR(__xludf.DUMMYFUNCTION("""COMPUTED_VALUE"""),"AZPILICUETA")</f>
        <v>AZPILICUETA</v>
      </c>
      <c r="C150" s="20" t="str">
        <f>IFERROR(__xludf.DUMMYFUNCTION("""COMPUTED_VALUE"""),"SEVILLA FC")</f>
        <v>SEVILLA FC</v>
      </c>
    </row>
    <row r="151">
      <c r="A151" s="20">
        <f>IFERROR(__xludf.DUMMYFUNCTION("""COMPUTED_VALUE"""),314.0)</f>
        <v>314</v>
      </c>
      <c r="B151" s="20" t="str">
        <f>IFERROR(__xludf.DUMMYFUNCTION("""COMPUTED_VALUE"""),"MARCAO")</f>
        <v>MARCAO</v>
      </c>
      <c r="C151" s="20" t="str">
        <f>IFERROR(__xludf.DUMMYFUNCTION("""COMPUTED_VALUE"""),"SEVILLA FC")</f>
        <v>SEVILLA FC</v>
      </c>
    </row>
    <row r="152">
      <c r="A152" s="20">
        <f>IFERROR(__xludf.DUMMYFUNCTION("""COMPUTED_VALUE"""),319.0)</f>
        <v>319</v>
      </c>
      <c r="B152" s="20" t="str">
        <f>IFERROR(__xludf.DUMMYFUNCTION("""COMPUTED_VALUE"""),"BATISTA MENDY")</f>
        <v>BATISTA MENDY</v>
      </c>
      <c r="C152" s="20" t="str">
        <f>IFERROR(__xludf.DUMMYFUNCTION("""COMPUTED_VALUE"""),"SEVILLA FC")</f>
        <v>SEVILLA FC</v>
      </c>
    </row>
    <row r="153">
      <c r="A153" s="20">
        <f>IFERROR(__xludf.DUMMYFUNCTION("""COMPUTED_VALUE"""),320.0)</f>
        <v>320</v>
      </c>
      <c r="B153" s="20" t="str">
        <f>IFERROR(__xludf.DUMMYFUNCTION("""COMPUTED_VALUE"""),"VARGAS")</f>
        <v>VARGAS</v>
      </c>
      <c r="C153" s="20" t="str">
        <f>IFERROR(__xludf.DUMMYFUNCTION("""COMPUTED_VALUE"""),"SEVILLA FC")</f>
        <v>SEVILLA FC</v>
      </c>
    </row>
    <row r="154">
      <c r="A154" s="20">
        <f>IFERROR(__xludf.DUMMYFUNCTION("""COMPUTED_VALUE"""),324.0)</f>
        <v>324</v>
      </c>
      <c r="B154" s="20" t="str">
        <f>IFERROR(__xludf.DUMMYFUNCTION("""COMPUTED_VALUE"""),"ALEXIS SÁNCHEZ")</f>
        <v>ALEXIS SÁNCHEZ</v>
      </c>
      <c r="C154" s="20" t="str">
        <f>IFERROR(__xludf.DUMMYFUNCTION("""COMPUTED_VALUE"""),"SEVILLA FC")</f>
        <v>SEVILLA FC</v>
      </c>
    </row>
    <row r="155">
      <c r="A155" s="20">
        <f>IFERROR(__xludf.DUMMYFUNCTION("""COMPUTED_VALUE"""),325.0)</f>
        <v>325</v>
      </c>
      <c r="B155" s="20" t="str">
        <f>IFERROR(__xludf.DUMMYFUNCTION("""COMPUTED_VALUE"""),"ESCUDO")</f>
        <v>ESCUDO</v>
      </c>
      <c r="C155" s="20" t="str">
        <f>IFERROR(__xludf.DUMMYFUNCTION("""COMPUTED_VALUE"""),"VALENCIA CF")</f>
        <v>VALENCIA CF</v>
      </c>
    </row>
    <row r="156">
      <c r="A156" s="20">
        <f>IFERROR(__xludf.DUMMYFUNCTION("""COMPUTED_VALUE"""),337.0)</f>
        <v>337</v>
      </c>
      <c r="B156" s="20" t="str">
        <f>IFERROR(__xludf.DUMMYFUNCTION("""COMPUTED_VALUE"""),"ANDRÉ ALMEIDA")</f>
        <v>ANDRÉ ALMEIDA</v>
      </c>
      <c r="C156" s="20" t="str">
        <f>IFERROR(__xludf.DUMMYFUNCTION("""COMPUTED_VALUE"""),"VALENCIA CF")</f>
        <v>VALENCIA CF</v>
      </c>
    </row>
    <row r="157">
      <c r="A157" s="20">
        <f>IFERROR(__xludf.DUMMYFUNCTION("""COMPUTED_VALUE"""),339.0)</f>
        <v>339</v>
      </c>
      <c r="B157" s="20" t="str">
        <f>IFERROR(__xludf.DUMMYFUNCTION("""COMPUTED_VALUE"""),"DIEGO LÓPEZ")</f>
        <v>DIEGO LÓPEZ</v>
      </c>
      <c r="C157" s="20" t="str">
        <f>IFERROR(__xludf.DUMMYFUNCTION("""COMPUTED_VALUE"""),"VALENCIA CF")</f>
        <v>VALENCIA CF</v>
      </c>
    </row>
    <row r="158">
      <c r="A158" s="20">
        <f>IFERROR(__xludf.DUMMYFUNCTION("""COMPUTED_VALUE"""),348.0)</f>
        <v>348</v>
      </c>
      <c r="B158" s="20" t="str">
        <f>IFERROR(__xludf.DUMMYFUNCTION("""COMPUTED_VALUE"""),"RAFA MARÍN")</f>
        <v>RAFA MARÍN</v>
      </c>
      <c r="C158" s="20" t="str">
        <f>IFERROR(__xludf.DUMMYFUNCTION("""COMPUTED_VALUE"""),"VILLARREAL CF")</f>
        <v>VILLARREAL CF</v>
      </c>
    </row>
    <row r="159">
      <c r="A159" s="20">
        <f>IFERROR(__xludf.DUMMYFUNCTION("""COMPUTED_VALUE"""),349.0)</f>
        <v>349</v>
      </c>
      <c r="B159" s="20" t="str">
        <f>IFERROR(__xludf.DUMMYFUNCTION("""COMPUTED_VALUE"""),"RENATO VEIGA")</f>
        <v>RENATO VEIGA</v>
      </c>
      <c r="C159" s="20" t="str">
        <f>IFERROR(__xludf.DUMMYFUNCTION("""COMPUTED_VALUE"""),"VILLARREAL CF")</f>
        <v>VILLARREAL CF</v>
      </c>
    </row>
    <row r="160">
      <c r="A160" s="20">
        <f>IFERROR(__xludf.DUMMYFUNCTION("""COMPUTED_VALUE"""),350.0)</f>
        <v>350</v>
      </c>
      <c r="B160" s="20" t="str">
        <f>IFERROR(__xludf.DUMMYFUNCTION("""COMPUTED_VALUE"""),"SERGI CARDONA")</f>
        <v>SERGI CARDONA</v>
      </c>
      <c r="C160" s="20" t="str">
        <f>IFERROR(__xludf.DUMMYFUNCTION("""COMPUTED_VALUE"""),"VILLARREAL CF")</f>
        <v>VILLARREAL CF</v>
      </c>
    </row>
    <row r="161">
      <c r="A161" s="20">
        <f>IFERROR(__xludf.DUMMYFUNCTION("""COMPUTED_VALUE"""),357.0)</f>
        <v>357</v>
      </c>
      <c r="B161" s="20" t="str">
        <f>IFERROR(__xludf.DUMMYFUNCTION("""COMPUTED_VALUE"""),"MIKAUTADZE")</f>
        <v>MIKAUTADZE</v>
      </c>
      <c r="C161" s="20" t="str">
        <f>IFERROR(__xludf.DUMMYFUNCTION("""COMPUTED_VALUE"""),"VILLARREAL CF")</f>
        <v>VILLARREAL CF</v>
      </c>
    </row>
    <row r="162">
      <c r="A162" s="20">
        <f>IFERROR(__xludf.DUMMYFUNCTION("""COMPUTED_VALUE"""),359.0)</f>
        <v>359</v>
      </c>
      <c r="B162" s="20" t="str">
        <f>IFERROR(__xludf.DUMMYFUNCTION("""COMPUTED_VALUE"""),"OLUWASEYI")</f>
        <v>OLUWASEYI</v>
      </c>
      <c r="C162" s="20" t="str">
        <f>IFERROR(__xludf.DUMMYFUNCTION("""COMPUTED_VALUE"""),"VILLARREAL CF")</f>
        <v>VILLARREAL CF</v>
      </c>
    </row>
    <row r="163">
      <c r="A163" s="20">
        <f>IFERROR(__xludf.DUMMYFUNCTION("""COMPUTED_VALUE"""),360.0)</f>
        <v>360</v>
      </c>
      <c r="B163" s="20" t="str">
        <f>IFERROR(__xludf.DUMMYFUNCTION("""COMPUTED_VALUE"""),"AYOZE")</f>
        <v>AYOZE</v>
      </c>
      <c r="C163" s="20" t="str">
        <f>IFERROR(__xludf.DUMMYFUNCTION("""COMPUTED_VALUE"""),"VILLARREAL CF")</f>
        <v>VILLARREAL CF</v>
      </c>
    </row>
    <row r="164">
      <c r="A164" s="20">
        <f>IFERROR(__xludf.DUMMYFUNCTION("""COMPUTED_VALUE"""),361.0)</f>
        <v>361</v>
      </c>
      <c r="B164" s="20" t="str">
        <f>IFERROR(__xludf.DUMMYFUNCTION("""COMPUTED_VALUE"""),"D. ALAVÉS")</f>
        <v>D. ALAVÉS</v>
      </c>
      <c r="C164" s="20" t="str">
        <f>IFERROR(__xludf.DUMMYFUNCTION("""COMPUTED_VALUE"""),"¡VAMOS!")</f>
        <v>¡VAMOS!</v>
      </c>
    </row>
    <row r="165">
      <c r="A165" s="20">
        <f>IFERROR(__xludf.DUMMYFUNCTION("""COMPUTED_VALUE"""),364.0)</f>
        <v>364</v>
      </c>
      <c r="B165" s="20" t="str">
        <f>IFERROR(__xludf.DUMMYFUNCTION("""COMPUTED_VALUE"""),"FC BARCELONA")</f>
        <v>FC BARCELONA</v>
      </c>
      <c r="C165" s="20" t="str">
        <f>IFERROR(__xludf.DUMMYFUNCTION("""COMPUTED_VALUE"""),"¡VAMOS!")</f>
        <v>¡VAMOS!</v>
      </c>
    </row>
    <row r="166">
      <c r="A166" s="20">
        <f>IFERROR(__xludf.DUMMYFUNCTION("""COMPUTED_VALUE"""),365.0)</f>
        <v>365</v>
      </c>
      <c r="B166" s="20" t="str">
        <f>IFERROR(__xludf.DUMMYFUNCTION("""COMPUTED_VALUE"""),"REAL BETIS")</f>
        <v>REAL BETIS</v>
      </c>
      <c r="C166" s="20" t="str">
        <f>IFERROR(__xludf.DUMMYFUNCTION("""COMPUTED_VALUE"""),"¡VAMOS!")</f>
        <v>¡VAMOS!</v>
      </c>
    </row>
    <row r="167">
      <c r="A167" s="20">
        <f>IFERROR(__xludf.DUMMYFUNCTION("""COMPUTED_VALUE"""),366.0)</f>
        <v>366</v>
      </c>
      <c r="B167" s="20" t="str">
        <f>IFERROR(__xludf.DUMMYFUNCTION("""COMPUTED_VALUE"""),"RC CELTA")</f>
        <v>RC CELTA</v>
      </c>
      <c r="C167" s="20" t="str">
        <f>IFERROR(__xludf.DUMMYFUNCTION("""COMPUTED_VALUE"""),"¡VAMOS!")</f>
        <v>¡VAMOS!</v>
      </c>
    </row>
    <row r="168">
      <c r="A168" s="20">
        <f>IFERROR(__xludf.DUMMYFUNCTION("""COMPUTED_VALUE"""),367.0)</f>
        <v>367</v>
      </c>
      <c r="B168" s="20" t="str">
        <f>IFERROR(__xludf.DUMMYFUNCTION("""COMPUTED_VALUE"""),"ELCHE CF")</f>
        <v>ELCHE CF</v>
      </c>
      <c r="C168" s="20" t="str">
        <f>IFERROR(__xludf.DUMMYFUNCTION("""COMPUTED_VALUE"""),"¡VAMOS!")</f>
        <v>¡VAMOS!</v>
      </c>
    </row>
    <row r="169">
      <c r="A169" s="20">
        <f>IFERROR(__xludf.DUMMYFUNCTION("""COMPUTED_VALUE"""),372.0)</f>
        <v>372</v>
      </c>
      <c r="B169" s="20" t="str">
        <f>IFERROR(__xludf.DUMMYFUNCTION("""COMPUTED_VALUE"""),"REAL MADRID")</f>
        <v>REAL MADRID</v>
      </c>
      <c r="C169" s="20" t="str">
        <f>IFERROR(__xludf.DUMMYFUNCTION("""COMPUTED_VALUE"""),"¡VAMOS!")</f>
        <v>¡VAMOS!</v>
      </c>
    </row>
    <row r="170">
      <c r="A170" s="20">
        <f>IFERROR(__xludf.DUMMYFUNCTION("""COMPUTED_VALUE"""),373.0)</f>
        <v>373</v>
      </c>
      <c r="B170" s="20" t="str">
        <f>IFERROR(__xludf.DUMMYFUNCTION("""COMPUTED_VALUE"""),"RCD MALLORCA")</f>
        <v>RCD MALLORCA</v>
      </c>
      <c r="C170" s="20" t="str">
        <f>IFERROR(__xludf.DUMMYFUNCTION("""COMPUTED_VALUE"""),"¡VAMOS!")</f>
        <v>¡VAMOS!</v>
      </c>
    </row>
    <row r="171">
      <c r="A171" s="20">
        <f>IFERROR(__xludf.DUMMYFUNCTION("""COMPUTED_VALUE"""),375.0)</f>
        <v>375</v>
      </c>
      <c r="B171" s="20" t="str">
        <f>IFERROR(__xludf.DUMMYFUNCTION("""COMPUTED_VALUE"""),"REAL OVIEDO")</f>
        <v>REAL OVIEDO</v>
      </c>
      <c r="C171" s="20" t="str">
        <f>IFERROR(__xludf.DUMMYFUNCTION("""COMPUTED_VALUE"""),"¡VAMOS!")</f>
        <v>¡VAMOS!</v>
      </c>
    </row>
    <row r="172">
      <c r="A172" s="20">
        <f>IFERROR(__xludf.DUMMYFUNCTION("""COMPUTED_VALUE"""),376.0)</f>
        <v>376</v>
      </c>
      <c r="B172" s="20" t="str">
        <f>IFERROR(__xludf.DUMMYFUNCTION("""COMPUTED_VALUE"""),"RAYO VALLECANO")</f>
        <v>RAYO VALLECANO</v>
      </c>
      <c r="C172" s="20" t="str">
        <f>IFERROR(__xludf.DUMMYFUNCTION("""COMPUTED_VALUE"""),"¡VAMOS!")</f>
        <v>¡VAMOS!</v>
      </c>
    </row>
    <row r="173">
      <c r="A173" s="20">
        <f>IFERROR(__xludf.DUMMYFUNCTION("""COMPUTED_VALUE"""),377.0)</f>
        <v>377</v>
      </c>
      <c r="B173" s="20" t="str">
        <f>IFERROR(__xludf.DUMMYFUNCTION("""COMPUTED_VALUE"""),"REAL SOCIEDAD")</f>
        <v>REAL SOCIEDAD</v>
      </c>
      <c r="C173" s="20" t="str">
        <f>IFERROR(__xludf.DUMMYFUNCTION("""COMPUTED_VALUE"""),"¡VAMOS!")</f>
        <v>¡VAMOS!</v>
      </c>
    </row>
    <row r="174">
      <c r="A174" s="20">
        <f>IFERROR(__xludf.DUMMYFUNCTION("""COMPUTED_VALUE"""),378.0)</f>
        <v>378</v>
      </c>
      <c r="B174" s="20" t="str">
        <f>IFERROR(__xludf.DUMMYFUNCTION("""COMPUTED_VALUE"""),"SEVILLA FC")</f>
        <v>SEVILLA FC</v>
      </c>
      <c r="C174" s="20" t="str">
        <f>IFERROR(__xludf.DUMMYFUNCTION("""COMPUTED_VALUE"""),"¡VAMOS!")</f>
        <v>¡VAMOS!</v>
      </c>
    </row>
    <row r="175">
      <c r="A175" s="20">
        <f>IFERROR(__xludf.DUMMYFUNCTION("""COMPUTED_VALUE"""),380.0)</f>
        <v>380</v>
      </c>
      <c r="B175" s="20" t="str">
        <f>IFERROR(__xludf.DUMMYFUNCTION("""COMPUTED_VALUE"""),"VILLARREAL CF")</f>
        <v>VILLARREAL CF</v>
      </c>
      <c r="C175" s="20" t="str">
        <f>IFERROR(__xludf.DUMMYFUNCTION("""COMPUTED_VALUE"""),"¡VAMOS!")</f>
        <v>¡VAMOS!</v>
      </c>
    </row>
    <row r="176">
      <c r="A176" s="20">
        <f>IFERROR(__xludf.DUMMYFUNCTION("""COMPUTED_VALUE"""),383.0)</f>
        <v>383</v>
      </c>
      <c r="B176" s="20" t="str">
        <f>IFERROR(__xludf.DUMMYFUNCTION("""COMPUTED_VALUE"""),"DAVID SORIA")</f>
        <v>DAVID SORIA</v>
      </c>
      <c r="C176" s="20" t="str">
        <f>IFERROR(__xludf.DUMMYFUNCTION("""COMPUTED_VALUE"""),"GETAFE CF")</f>
        <v>GETAFE CF</v>
      </c>
    </row>
    <row r="177">
      <c r="A177" s="20">
        <f>IFERROR(__xludf.DUMMYFUNCTION("""COMPUTED_VALUE"""),384.0)</f>
        <v>384</v>
      </c>
      <c r="B177" s="20" t="str">
        <f>IFERROR(__xludf.DUMMYFUNCTION("""COMPUTED_VALUE"""),"SERGIO HERRERA")</f>
        <v>SERGIO HERRERA</v>
      </c>
      <c r="C177" s="20" t="str">
        <f>IFERROR(__xludf.DUMMYFUNCTION("""COMPUTED_VALUE"""),"CA OSASUNA")</f>
        <v>CA OSASUNA</v>
      </c>
    </row>
    <row r="178">
      <c r="A178" s="20">
        <f>IFERROR(__xludf.DUMMYFUNCTION("""COMPUTED_VALUE"""),385.0)</f>
        <v>385</v>
      </c>
      <c r="B178" s="20" t="str">
        <f>IFERROR(__xludf.DUMMYFUNCTION("""COMPUTED_VALUE"""),"BATALLA")</f>
        <v>BATALLA</v>
      </c>
      <c r="C178" s="20" t="str">
        <f>IFERROR(__xludf.DUMMYFUNCTION("""COMPUTED_VALUE"""),"RAYO VALLECANO")</f>
        <v>RAYO VALLECANO</v>
      </c>
    </row>
    <row r="179">
      <c r="A179" s="20">
        <f>IFERROR(__xludf.DUMMYFUNCTION("""COMPUTED_VALUE"""),386.0)</f>
        <v>386</v>
      </c>
      <c r="B179" s="20" t="str">
        <f>IFERROR(__xludf.DUMMYFUNCTION("""COMPUTED_VALUE"""),"REMIRO")</f>
        <v>REMIRO</v>
      </c>
      <c r="C179" s="20" t="str">
        <f>IFERROR(__xludf.DUMMYFUNCTION("""COMPUTED_VALUE"""),"REAL SOCIEDAD")</f>
        <v>REAL SOCIEDAD</v>
      </c>
    </row>
    <row r="180">
      <c r="A180" s="20">
        <f>IFERROR(__xludf.DUMMYFUNCTION("""COMPUTED_VALUE"""),387.0)</f>
        <v>387</v>
      </c>
      <c r="B180" s="20" t="str">
        <f>IFERROR(__xludf.DUMMYFUNCTION("""COMPUTED_VALUE"""),"AGIRREZABALA")</f>
        <v>AGIRREZABALA</v>
      </c>
      <c r="C180" s="20" t="str">
        <f>IFERROR(__xludf.DUMMYFUNCTION("""COMPUTED_VALUE"""),"VALENCIA CF")</f>
        <v>VALENCIA CF</v>
      </c>
    </row>
    <row r="181">
      <c r="A181" s="20">
        <f>IFERROR(__xludf.DUMMYFUNCTION("""COMPUTED_VALUE"""),388.0)</f>
        <v>388</v>
      </c>
      <c r="B181" s="20" t="str">
        <f>IFERROR(__xludf.DUMMYFUNCTION("""COMPUTED_VALUE"""),"LAPORTE")</f>
        <v>LAPORTE</v>
      </c>
      <c r="C181" s="20" t="str">
        <f>IFERROR(__xludf.DUMMYFUNCTION("""COMPUTED_VALUE"""),"ATHLETIC CLUB")</f>
        <v>ATHLETIC CLUB</v>
      </c>
    </row>
    <row r="182">
      <c r="A182" s="20">
        <f>IFERROR(__xludf.DUMMYFUNCTION("""COMPUTED_VALUE"""),389.0)</f>
        <v>389</v>
      </c>
      <c r="B182" s="20" t="str">
        <f>IFERROR(__xludf.DUMMYFUNCTION("""COMPUTED_VALUE"""),"VIVIAN")</f>
        <v>VIVIAN</v>
      </c>
      <c r="C182" s="20" t="str">
        <f>IFERROR(__xludf.DUMMYFUNCTION("""COMPUTED_VALUE"""),"ATHLETIC CLUB")</f>
        <v>ATHLETIC CLUB</v>
      </c>
    </row>
    <row r="183">
      <c r="A183" s="20">
        <f>IFERROR(__xludf.DUMMYFUNCTION("""COMPUTED_VALUE"""),390.0)</f>
        <v>390</v>
      </c>
      <c r="B183" s="20" t="str">
        <f>IFERROR(__xludf.DUMMYFUNCTION("""COMPUTED_VALUE"""),"LE NORMAND")</f>
        <v>LE NORMAND</v>
      </c>
      <c r="C183" s="20" t="str">
        <f>IFERROR(__xludf.DUMMYFUNCTION("""COMPUTED_VALUE"""),"ATLÉTICO DE MADRID")</f>
        <v>ATLÉTICO DE MADRID</v>
      </c>
    </row>
    <row r="184">
      <c r="A184" s="20">
        <f>IFERROR(__xludf.DUMMYFUNCTION("""COMPUTED_VALUE"""),393.0)</f>
        <v>393</v>
      </c>
      <c r="B184" s="20" t="str">
        <f>IFERROR(__xludf.DUMMYFUNCTION("""COMPUTED_VALUE"""),"MILITAO")</f>
        <v>MILITAO</v>
      </c>
      <c r="C184" s="20" t="str">
        <f>IFERROR(__xludf.DUMMYFUNCTION("""COMPUTED_VALUE"""),"REAL MADRID")</f>
        <v>REAL MADRID</v>
      </c>
    </row>
    <row r="185">
      <c r="A185" s="20">
        <f>IFERROR(__xludf.DUMMYFUNCTION("""COMPUTED_VALUE"""),394.0)</f>
        <v>394</v>
      </c>
      <c r="B185" s="20" t="str">
        <f>IFERROR(__xludf.DUMMYFUNCTION("""COMPUTED_VALUE"""),"LEJEUNE")</f>
        <v>LEJEUNE</v>
      </c>
      <c r="C185" s="20" t="str">
        <f>IFERROR(__xludf.DUMMYFUNCTION("""COMPUTED_VALUE"""),"RAYO VALLECANO")</f>
        <v>RAYO VALLECANO</v>
      </c>
    </row>
    <row r="186">
      <c r="A186" s="20">
        <f>IFERROR(__xludf.DUMMYFUNCTION("""COMPUTED_VALUE"""),395.0)</f>
        <v>395</v>
      </c>
      <c r="B186" s="20" t="str">
        <f>IFERROR(__xludf.DUMMYFUNCTION("""COMPUTED_VALUE"""),"TÁRREGA")</f>
        <v>TÁRREGA</v>
      </c>
      <c r="C186" s="20" t="str">
        <f>IFERROR(__xludf.DUMMYFUNCTION("""COMPUTED_VALUE"""),"VALENCIA CF")</f>
        <v>VALENCIA CF</v>
      </c>
    </row>
    <row r="187">
      <c r="A187" s="20">
        <f>IFERROR(__xludf.DUMMYFUNCTION("""COMPUTED_VALUE"""),397.0)</f>
        <v>397</v>
      </c>
      <c r="B187" s="20" t="str">
        <f>IFERROR(__xludf.DUMMYFUNCTION("""COMPUTED_VALUE"""),"REGO")</f>
        <v>REGO</v>
      </c>
      <c r="C187" s="20" t="str">
        <f>IFERROR(__xludf.DUMMYFUNCTION("""COMPUTED_VALUE"""),"ATHLETIC CLUB")</f>
        <v>ATHLETIC CLUB</v>
      </c>
    </row>
    <row r="188">
      <c r="A188" s="20">
        <f>IFERROR(__xludf.DUMMYFUNCTION("""COMPUTED_VALUE"""),399.0)</f>
        <v>399</v>
      </c>
      <c r="B188" s="20" t="str">
        <f>IFERROR(__xludf.DUMMYFUNCTION("""COMPUTED_VALUE"""),"VALENTÍN GÓMEZ")</f>
        <v>VALENTÍN GÓMEZ</v>
      </c>
      <c r="C188" s="20" t="str">
        <f>IFERROR(__xludf.DUMMYFUNCTION("""COMPUTED_VALUE"""),"REAL BETIS")</f>
        <v>REAL BETIS</v>
      </c>
    </row>
    <row r="189">
      <c r="A189" s="20">
        <f>IFERROR(__xludf.DUMMYFUNCTION("""COMPUTED_VALUE"""),401.0)</f>
        <v>401</v>
      </c>
      <c r="B189" s="20" t="str">
        <f>IFERROR(__xludf.DUMMYFUNCTION("""COMPUTED_VALUE"""),"RODRI MENDOZA")</f>
        <v>RODRI MENDOZA</v>
      </c>
      <c r="C189" s="20" t="str">
        <f>IFERROR(__xludf.DUMMYFUNCTION("""COMPUTED_VALUE"""),"ELCHE CF")</f>
        <v>ELCHE CF</v>
      </c>
    </row>
    <row r="190">
      <c r="A190" s="20">
        <f>IFERROR(__xludf.DUMMYFUNCTION("""COMPUTED_VALUE"""),410.0)</f>
        <v>410</v>
      </c>
      <c r="B190" s="20" t="str">
        <f>IFERROR(__xludf.DUMMYFUNCTION("""COMPUTED_VALUE"""),"GONZALO")</f>
        <v>GONZALO</v>
      </c>
      <c r="C190" s="20" t="str">
        <f>IFERROR(__xludf.DUMMYFUNCTION("""COMPUTED_VALUE"""),"REAL MADRID")</f>
        <v>REAL MADRID</v>
      </c>
    </row>
    <row r="191">
      <c r="A191" s="20">
        <f>IFERROR(__xludf.DUMMYFUNCTION("""COMPUTED_VALUE"""),411.0)</f>
        <v>411</v>
      </c>
      <c r="B191" s="20" t="str">
        <f>IFERROR(__xludf.DUMMYFUNCTION("""COMPUTED_VALUE"""),"JAN VIRGILI")</f>
        <v>JAN VIRGILI</v>
      </c>
      <c r="C191" s="20" t="str">
        <f>IFERROR(__xludf.DUMMYFUNCTION("""COMPUTED_VALUE"""),"RCD MALLORCA")</f>
        <v>RCD MALLORCA</v>
      </c>
    </row>
    <row r="192">
      <c r="A192" s="20">
        <f>IFERROR(__xludf.DUMMYFUNCTION("""COMPUTED_VALUE"""),412.0)</f>
        <v>412</v>
      </c>
      <c r="B192" s="20" t="str">
        <f>IFERROR(__xludf.DUMMYFUNCTION("""COMPUTED_VALUE"""),"MATEO JOSEPH")</f>
        <v>MATEO JOSEPH</v>
      </c>
      <c r="C192" s="20" t="str">
        <f>IFERROR(__xludf.DUMMYFUNCTION("""COMPUTED_VALUE"""),"RCD MALLORCA")</f>
        <v>RCD MALLORCA</v>
      </c>
    </row>
    <row r="193">
      <c r="A193" s="20">
        <f>IFERROR(__xludf.DUMMYFUNCTION("""COMPUTED_VALUE"""),417.0)</f>
        <v>417</v>
      </c>
      <c r="B193" s="20" t="str">
        <f>IFERROR(__xludf.DUMMYFUNCTION("""COMPUTED_VALUE"""),"FEBAS")</f>
        <v>FEBAS</v>
      </c>
      <c r="C193" s="20" t="str">
        <f>IFERROR(__xludf.DUMMYFUNCTION("""COMPUTED_VALUE"""),"ELCHE CF")</f>
        <v>ELCHE CF</v>
      </c>
    </row>
    <row r="194">
      <c r="A194" s="20">
        <f>IFERROR(__xludf.DUMMYFUNCTION("""COMPUTED_VALUE"""),418.0)</f>
        <v>418</v>
      </c>
      <c r="B194" s="20" t="str">
        <f>IFERROR(__xludf.DUMMYFUNCTION("""COMPUTED_VALUE"""),"EDU EXPÓSITO")</f>
        <v>EDU EXPÓSITO</v>
      </c>
      <c r="C194" s="20" t="str">
        <f>IFERROR(__xludf.DUMMYFUNCTION("""COMPUTED_VALUE"""),"RCD ESPANYOL")</f>
        <v>RCD ESPANYOL</v>
      </c>
    </row>
    <row r="195">
      <c r="A195" s="20">
        <f>IFERROR(__xludf.DUMMYFUNCTION("""COMPUTED_VALUE"""),420.0)</f>
        <v>420</v>
      </c>
      <c r="B195" s="20" t="str">
        <f>IFERROR(__xludf.DUMMYFUNCTION("""COMPUTED_VALUE"""),"DARDER")</f>
        <v>DARDER</v>
      </c>
      <c r="C195" s="20" t="str">
        <f>IFERROR(__xludf.DUMMYFUNCTION("""COMPUTED_VALUE"""),"RCD MALLORCA")</f>
        <v>RCD MALLORCA</v>
      </c>
    </row>
    <row r="196">
      <c r="A196" s="20">
        <f>IFERROR(__xludf.DUMMYFUNCTION("""COMPUTED_VALUE"""),423.0)</f>
        <v>423</v>
      </c>
      <c r="B196" s="20" t="str">
        <f>IFERROR(__xludf.DUMMYFUNCTION("""COMPUTED_VALUE"""),"UNAI LÓPEZ")</f>
        <v>UNAI LÓPEZ</v>
      </c>
      <c r="C196" s="20" t="str">
        <f>IFERROR(__xludf.DUMMYFUNCTION("""COMPUTED_VALUE"""),"RAYO VALLECANO")</f>
        <v>RAYO VALLECANO</v>
      </c>
    </row>
    <row r="197">
      <c r="A197" s="20">
        <f>IFERROR(__xludf.DUMMYFUNCTION("""COMPUTED_VALUE"""),424.0)</f>
        <v>424</v>
      </c>
      <c r="B197" s="20" t="str">
        <f>IFERROR(__xludf.DUMMYFUNCTION("""COMPUTED_VALUE"""),"TENAGLIA")</f>
        <v>TENAGLIA</v>
      </c>
      <c r="C197" s="20" t="str">
        <f>IFERROR(__xludf.DUMMYFUNCTION("""COMPUTED_VALUE"""),"D. ALAVÉS")</f>
        <v>D. ALAVÉS</v>
      </c>
    </row>
    <row r="198">
      <c r="A198" s="20">
        <f>IFERROR(__xludf.DUMMYFUNCTION("""COMPUTED_VALUE"""),428.0)</f>
        <v>428</v>
      </c>
      <c r="B198" s="20" t="str">
        <f>IFERROR(__xludf.DUMMYFUNCTION("""COMPUTED_VALUE"""),"BORJA IGLESIAS")</f>
        <v>BORJA IGLESIAS</v>
      </c>
      <c r="C198" s="20" t="str">
        <f>IFERROR(__xludf.DUMMYFUNCTION("""COMPUTED_VALUE"""),"RC CELTA")</f>
        <v>RC CELTA</v>
      </c>
    </row>
    <row r="199">
      <c r="A199" s="20">
        <f>IFERROR(__xludf.DUMMYFUNCTION("""COMPUTED_VALUE"""),429.0)</f>
        <v>429</v>
      </c>
      <c r="B199" s="20" t="str">
        <f>IFERROR(__xludf.DUMMYFUNCTION("""COMPUTED_VALUE"""),"DOLAN")</f>
        <v>DOLAN</v>
      </c>
      <c r="C199" s="20" t="str">
        <f>IFERROR(__xludf.DUMMYFUNCTION("""COMPUTED_VALUE"""),"RCD ESPANYOL")</f>
        <v>RCD ESPANYOL</v>
      </c>
    </row>
    <row r="200">
      <c r="A200" s="20">
        <f>IFERROR(__xludf.DUMMYFUNCTION("""COMPUTED_VALUE"""),430.0)</f>
        <v>430</v>
      </c>
      <c r="B200" s="20" t="str">
        <f>IFERROR(__xludf.DUMMYFUNCTION("""COMPUTED_VALUE"""),"VANAT")</f>
        <v>VANAT</v>
      </c>
      <c r="C200" s="20" t="str">
        <f>IFERROR(__xludf.DUMMYFUNCTION("""COMPUTED_VALUE"""),"GIRONA FC")</f>
        <v>GIRONA FC</v>
      </c>
    </row>
    <row r="201">
      <c r="A201" s="20">
        <f>IFERROR(__xludf.DUMMYFUNCTION("""COMPUTED_VALUE"""),432.0)</f>
        <v>432</v>
      </c>
      <c r="B201" s="20" t="str">
        <f>IFERROR(__xludf.DUMMYFUNCTION("""COMPUTED_VALUE"""),"TCHOUAMÉNI")</f>
        <v>TCHOUAMÉNI</v>
      </c>
      <c r="C201" s="20" t="str">
        <f>IFERROR(__xludf.DUMMYFUNCTION("""COMPUTED_VALUE"""),"REAL MADRID")</f>
        <v>REAL MADRID</v>
      </c>
    </row>
    <row r="202">
      <c r="A202" s="20">
        <f>IFERROR(__xludf.DUMMYFUNCTION("""COMPUTED_VALUE"""),433.0)</f>
        <v>433</v>
      </c>
      <c r="B202" s="20" t="str">
        <f>IFERROR(__xludf.DUMMYFUNCTION("""COMPUTED_VALUE"""),"LEO ROMÁN")</f>
        <v>LEO ROMÁN</v>
      </c>
      <c r="C202" s="20" t="str">
        <f>IFERROR(__xludf.DUMMYFUNCTION("""COMPUTED_VALUE"""),"RCD MALLORCA")</f>
        <v>RCD MALLORCA</v>
      </c>
    </row>
    <row r="203">
      <c r="A203" s="20">
        <f>IFERROR(__xludf.DUMMYFUNCTION("""COMPUTED_VALUE"""),435.0)</f>
        <v>435</v>
      </c>
      <c r="B203" s="20" t="str">
        <f>IFERROR(__xludf.DUMMYFUNCTION("""COMPUTED_VALUE"""),"HASSAN")</f>
        <v>HASSAN</v>
      </c>
      <c r="C203" s="20" t="str">
        <f>IFERROR(__xludf.DUMMYFUNCTION("""COMPUTED_VALUE"""),"REAL OVIEDO")</f>
        <v>REAL OVIEDO</v>
      </c>
    </row>
    <row r="204">
      <c r="A204" s="20">
        <f>IFERROR(__xludf.DUMMYFUNCTION("""COMPUTED_VALUE"""),437.0)</f>
        <v>437</v>
      </c>
      <c r="B204" s="20" t="str">
        <f>IFERROR(__xludf.DUMMYFUNCTION("""COMPUTED_VALUE"""),"GORROTXATEGI")</f>
        <v>GORROTXATEGI</v>
      </c>
      <c r="C204" s="20" t="str">
        <f>IFERROR(__xludf.DUMMYFUNCTION("""COMPUTED_VALUE"""),"REAL SOCIEDAD")</f>
        <v>REAL SOCIEDAD</v>
      </c>
    </row>
    <row r="205">
      <c r="A205" s="20">
        <f>IFERROR(__xludf.DUMMYFUNCTION("""COMPUTED_VALUE"""),438.0)</f>
        <v>438</v>
      </c>
      <c r="B205" s="20" t="str">
        <f>IFERROR(__xludf.DUMMYFUNCTION("""COMPUTED_VALUE"""),"BATISTA MENDY")</f>
        <v>BATISTA MENDY</v>
      </c>
      <c r="C205" s="20" t="str">
        <f>IFERROR(__xludf.DUMMYFUNCTION("""COMPUTED_VALUE"""),"SEVILLA FC")</f>
        <v>SEVILLA FC</v>
      </c>
    </row>
    <row r="206">
      <c r="A206" s="20">
        <f>IFERROR(__xludf.DUMMYFUNCTION("""COMPUTED_VALUE"""),441.0)</f>
        <v>441</v>
      </c>
      <c r="B206" s="20" t="str">
        <f>IFERROR(__xludf.DUMMYFUNCTION("""COMPUTED_VALUE"""),"BUCHANAN")</f>
        <v>BUCHANAN</v>
      </c>
      <c r="C206" s="20" t="str">
        <f>IFERROR(__xludf.DUMMYFUNCTION("""COMPUTED_VALUE"""),"VILLARREAL CF")</f>
        <v>VILLARREAL CF</v>
      </c>
    </row>
    <row r="207">
      <c r="A207" s="20">
        <f>IFERROR(__xludf.DUMMYFUNCTION("""COMPUTED_VALUE"""),442.0)</f>
        <v>442</v>
      </c>
      <c r="B207" s="20" t="str">
        <f>IFERROR(__xludf.DUMMYFUNCTION("""COMPUTED_VALUE"""),"UNAI SIMÓN")</f>
        <v>UNAI SIMÓN</v>
      </c>
      <c r="C207" s="20" t="str">
        <f>IFERROR(__xludf.DUMMYFUNCTION("""COMPUTED_VALUE"""),"ATHLETIC CLUB")</f>
        <v>ATHLETIC CLUB</v>
      </c>
    </row>
    <row r="208">
      <c r="A208" s="20">
        <f>IFERROR(__xludf.DUMMYFUNCTION("""COMPUTED_VALUE"""),443.0)</f>
        <v>443</v>
      </c>
      <c r="B208" s="20" t="str">
        <f>IFERROR(__xludf.DUMMYFUNCTION("""COMPUTED_VALUE"""),"JAUREGIZAR")</f>
        <v>JAUREGIZAR</v>
      </c>
      <c r="C208" s="20" t="str">
        <f>IFERROR(__xludf.DUMMYFUNCTION("""COMPUTED_VALUE"""),"ATHLETIC CLUB")</f>
        <v>ATHLETIC CLUB</v>
      </c>
    </row>
    <row r="209">
      <c r="A209" s="20">
        <f>IFERROR(__xludf.DUMMYFUNCTION("""COMPUTED_VALUE"""),445.0)</f>
        <v>445</v>
      </c>
      <c r="B209" s="20" t="str">
        <f>IFERROR(__xludf.DUMMYFUNCTION("""COMPUTED_VALUE"""),"MARCOS LLORENTE")</f>
        <v>MARCOS LLORENTE</v>
      </c>
      <c r="C209" s="20" t="str">
        <f>IFERROR(__xludf.DUMMYFUNCTION("""COMPUTED_VALUE"""),"ATLÉTICO DE MADRID")</f>
        <v>ATLÉTICO DE MADRID</v>
      </c>
    </row>
    <row r="210">
      <c r="A210" s="20">
        <f>IFERROR(__xludf.DUMMYFUNCTION("""COMPUTED_VALUE"""),446.0)</f>
        <v>446</v>
      </c>
      <c r="B210" s="20" t="str">
        <f>IFERROR(__xludf.DUMMYFUNCTION("""COMPUTED_VALUE"""),"ÁLEX BAENA")</f>
        <v>ÁLEX BAENA</v>
      </c>
      <c r="C210" s="20" t="str">
        <f>IFERROR(__xludf.DUMMYFUNCTION("""COMPUTED_VALUE"""),"ATLÉTICO DE MADRID")</f>
        <v>ATLÉTICO DE MADRID</v>
      </c>
    </row>
    <row r="211">
      <c r="A211" s="20">
        <f>IFERROR(__xludf.DUMMYFUNCTION("""COMPUTED_VALUE"""),450.0)</f>
        <v>450</v>
      </c>
      <c r="B211" s="20" t="str">
        <f>IFERROR(__xludf.DUMMYFUNCTION("""COMPUTED_VALUE"""),"BALDE")</f>
        <v>BALDE</v>
      </c>
      <c r="C211" s="20" t="str">
        <f>IFERROR(__xludf.DUMMYFUNCTION("""COMPUTED_VALUE"""),"FC BARCELONA")</f>
        <v>FC BARCELONA</v>
      </c>
    </row>
    <row r="212">
      <c r="A212" s="20">
        <f>IFERROR(__xludf.DUMMYFUNCTION("""COMPUTED_VALUE"""),451.0)</f>
        <v>451</v>
      </c>
      <c r="B212" s="20" t="str">
        <f>IFERROR(__xludf.DUMMYFUNCTION("""COMPUTED_VALUE"""),"RAPHINHA")</f>
        <v>RAPHINHA</v>
      </c>
      <c r="C212" s="20" t="str">
        <f>IFERROR(__xludf.DUMMYFUNCTION("""COMPUTED_VALUE"""),"FC BARCELONA")</f>
        <v>FC BARCELONA</v>
      </c>
    </row>
    <row r="213">
      <c r="A213" s="20">
        <f>IFERROR(__xludf.DUMMYFUNCTION("""COMPUTED_VALUE"""),453.0)</f>
        <v>453</v>
      </c>
      <c r="B213" s="20" t="str">
        <f>IFERROR(__xludf.DUMMYFUNCTION("""COMPUTED_VALUE"""),"RASHFORD")</f>
        <v>RASHFORD</v>
      </c>
      <c r="C213" s="20" t="str">
        <f>IFERROR(__xludf.DUMMYFUNCTION("""COMPUTED_VALUE"""),"FC BARCELONA")</f>
        <v>FC BARCELONA</v>
      </c>
    </row>
    <row r="214">
      <c r="A214" s="20">
        <f>IFERROR(__xludf.DUMMYFUNCTION("""COMPUTED_VALUE"""),454.0)</f>
        <v>454</v>
      </c>
      <c r="B214" s="20" t="str">
        <f>IFERROR(__xludf.DUMMYFUNCTION("""COMPUTED_VALUE"""),"ISCO")</f>
        <v>ISCO</v>
      </c>
      <c r="C214" s="20" t="str">
        <f>IFERROR(__xludf.DUMMYFUNCTION("""COMPUTED_VALUE"""),"REAL BETIS")</f>
        <v>REAL BETIS</v>
      </c>
    </row>
    <row r="215">
      <c r="A215" s="20">
        <f>IFERROR(__xludf.DUMMYFUNCTION("""COMPUTED_VALUE"""),457.0)</f>
        <v>457</v>
      </c>
      <c r="B215" s="20" t="str">
        <f>IFERROR(__xludf.DUMMYFUNCTION("""COMPUTED_VALUE"""),"COURTOIS")</f>
        <v>COURTOIS</v>
      </c>
      <c r="C215" s="20" t="str">
        <f>IFERROR(__xludf.DUMMYFUNCTION("""COMPUTED_VALUE"""),"REAL MADRID")</f>
        <v>REAL MADRID</v>
      </c>
    </row>
    <row r="216">
      <c r="A216" s="20">
        <f>IFERROR(__xludf.DUMMYFUNCTION("""COMPUTED_VALUE"""),459.0)</f>
        <v>459</v>
      </c>
      <c r="B216" s="20" t="str">
        <f>IFERROR(__xludf.DUMMYFUNCTION("""COMPUTED_VALUE"""),"FEDE VALVERDE")</f>
        <v>FEDE VALVERDE</v>
      </c>
      <c r="C216" s="20" t="str">
        <f>IFERROR(__xludf.DUMMYFUNCTION("""COMPUTED_VALUE"""),"REAL MADRID")</f>
        <v>REAL MADRID</v>
      </c>
    </row>
    <row r="217">
      <c r="A217" s="20">
        <f>IFERROR(__xludf.DUMMYFUNCTION("""COMPUTED_VALUE"""),460.0)</f>
        <v>460</v>
      </c>
      <c r="B217" s="20" t="str">
        <f>IFERROR(__xludf.DUMMYFUNCTION("""COMPUTED_VALUE"""),"MASTANTUONO")</f>
        <v>MASTANTUONO</v>
      </c>
      <c r="C217" s="20" t="str">
        <f>IFERROR(__xludf.DUMMYFUNCTION("""COMPUTED_VALUE"""),"REAL MADRID")</f>
        <v>REAL MADRID</v>
      </c>
    </row>
    <row r="218">
      <c r="A218" s="20">
        <f>IFERROR(__xludf.DUMMYFUNCTION("""COMPUTED_VALUE"""),463.0)</f>
        <v>463</v>
      </c>
      <c r="B218" s="20" t="str">
        <f>IFERROR(__xludf.DUMMYFUNCTION("""COMPUTED_VALUE"""),"KUBO")</f>
        <v>KUBO</v>
      </c>
      <c r="C218" s="20" t="str">
        <f>IFERROR(__xludf.DUMMYFUNCTION("""COMPUTED_VALUE"""),"REAL SOCIEDAD")</f>
        <v>REAL SOCIEDAD</v>
      </c>
    </row>
    <row r="219">
      <c r="A219" s="20">
        <f>IFERROR(__xludf.DUMMYFUNCTION("""COMPUTED_VALUE"""),464.0)</f>
        <v>464</v>
      </c>
      <c r="B219" s="20" t="str">
        <f>IFERROR(__xludf.DUMMYFUNCTION("""COMPUTED_VALUE"""),"VARGAS")</f>
        <v>VARGAS</v>
      </c>
      <c r="C219" s="20" t="str">
        <f>IFERROR(__xludf.DUMMYFUNCTION("""COMPUTED_VALUE"""),"SEVILLA FC")</f>
        <v>SEVILLA FC</v>
      </c>
    </row>
    <row r="220">
      <c r="A220" s="20">
        <f>IFERROR(__xludf.DUMMYFUNCTION("""COMPUTED_VALUE"""),466.0)</f>
        <v>466</v>
      </c>
      <c r="B220" s="20" t="str">
        <f>IFERROR(__xludf.DUMMYFUNCTION("""COMPUTED_VALUE"""),"MOLEIRO")</f>
        <v>MOLEIRO</v>
      </c>
      <c r="C220" s="20" t="str">
        <f>IFERROR(__xludf.DUMMYFUNCTION("""COMPUTED_VALUE"""),"VILLARREAL CF")</f>
        <v>VILLARREAL CF</v>
      </c>
    </row>
    <row r="221">
      <c r="A221" s="20">
        <f>IFERROR(__xludf.DUMMYFUNCTION("""COMPUTED_VALUE"""),468.0)</f>
        <v>468</v>
      </c>
      <c r="B221" s="20" t="str">
        <f>IFERROR(__xludf.DUMMYFUNCTION("""COMPUTED_VALUE"""),"CARD CHAMPIONS")</f>
        <v>CARD CHAMPIONS</v>
      </c>
      <c r="C221" s="20" t="str">
        <f>IFERROR(__xludf.DUMMYFUNCTION("""COMPUTED_VALUE"""),"ÚNICA")</f>
        <v>ÚNICA</v>
      </c>
    </row>
    <row r="222">
      <c r="A222" s="20">
        <f>IFERROR(__xludf.DUMMYFUNCTION("""COMPUTED_VALUE"""),470.0)</f>
        <v>470</v>
      </c>
      <c r="B222" s="20" t="str">
        <f>IFERROR(__xludf.DUMMYFUNCTION("""COMPUTED_VALUE"""),"JULIÁN ÁLVAREZ")</f>
        <v>JULIÁN ÁLVAREZ</v>
      </c>
      <c r="C222" s="20" t="str">
        <f>IFERROR(__xludf.DUMMYFUNCTION("""COMPUTED_VALUE"""),"BALÓN DE ORO (ATLÉTICO)")</f>
        <v>BALÓN DE ORO (ATLÉTICO)</v>
      </c>
    </row>
    <row r="223">
      <c r="A223" s="20">
        <f>IFERROR(__xludf.DUMMYFUNCTION("""COMPUTED_VALUE"""),471.0)</f>
        <v>471</v>
      </c>
      <c r="B223" s="20" t="str">
        <f>IFERROR(__xludf.DUMMYFUNCTION("""COMPUTED_VALUE"""),"PEDRI")</f>
        <v>PEDRI</v>
      </c>
      <c r="C223" s="20" t="str">
        <f>IFERROR(__xludf.DUMMYFUNCTION("""COMPUTED_VALUE"""),"BALÓN DE ORO (BARÇA)")</f>
        <v>BALÓN DE ORO (BARÇA)</v>
      </c>
    </row>
    <row r="224">
      <c r="A224" s="20">
        <f>IFERROR(__xludf.DUMMYFUNCTION("""COMPUTED_VALUE"""),472.0)</f>
        <v>472</v>
      </c>
      <c r="B224" s="20" t="str">
        <f>IFERROR(__xludf.DUMMYFUNCTION("""COMPUTED_VALUE"""),"LAMINE YAMAL")</f>
        <v>LAMINE YAMAL</v>
      </c>
      <c r="C224" s="20" t="str">
        <f>IFERROR(__xludf.DUMMYFUNCTION("""COMPUTED_VALUE"""),"BALÓN DE ORO (BARÇA)")</f>
        <v>BALÓN DE ORO (BARÇA)</v>
      </c>
    </row>
    <row r="225">
      <c r="A225" s="20">
        <f>IFERROR(__xludf.DUMMYFUNCTION("""COMPUTED_VALUE"""),473.0)</f>
        <v>473</v>
      </c>
      <c r="B225" s="20" t="str">
        <f>IFERROR(__xludf.DUMMYFUNCTION("""COMPUTED_VALUE"""),"VINÍCIUS")</f>
        <v>VINÍCIUS</v>
      </c>
      <c r="C225" s="20" t="str">
        <f>IFERROR(__xludf.DUMMYFUNCTION("""COMPUTED_VALUE"""),"BALÓN DE ORO (REAL MADRID)")</f>
        <v>BALÓN DE ORO (REAL MADRID)</v>
      </c>
    </row>
    <row r="226">
      <c r="A226" s="20">
        <f>IFERROR(__xludf.DUMMYFUNCTION("""COMPUTED_VALUE"""),475.0)</f>
        <v>475</v>
      </c>
      <c r="B226" s="20" t="str">
        <f>IFERROR(__xludf.DUMMYFUNCTION("""COMPUTED_VALUE"""),"BALÓN DE ORO EXCELLENCE")</f>
        <v>BALÓN DE ORO EXCELLENCE</v>
      </c>
      <c r="C226" s="20" t="str">
        <f>IFERROR(__xludf.DUMMYFUNCTION("""COMPUTED_VALUE"""),"ÚNICA")</f>
        <v>ÚNICA</v>
      </c>
    </row>
    <row r="227">
      <c r="A227" s="20">
        <f>IFERROR(__xludf.DUMMYFUNCTION("""COMPUTED_VALUE"""),476.0)</f>
        <v>476</v>
      </c>
      <c r="B227" s="20" t="str">
        <f>IFERROR(__xludf.DUMMYFUNCTION("""COMPUTED_VALUE"""),"CARD ATÓMICA")</f>
        <v>CARD ATÓMICA</v>
      </c>
      <c r="C227" s="20" t="str">
        <f>IFERROR(__xludf.DUMMYFUNCTION("""COMPUTED_VALUE"""),"ÚNICA")</f>
        <v>ÚNICA</v>
      </c>
    </row>
    <row r="228">
      <c r="A228" s="20">
        <f>IFERROR(__xludf.DUMMYFUNCTION("""COMPUTED_VALUE"""),478.0)</f>
        <v>478</v>
      </c>
      <c r="B228" s="20" t="str">
        <f>IFERROR(__xludf.DUMMYFUNCTION("""COMPUTED_VALUE"""),"CAMPEÓN CARD")</f>
        <v>CAMPEÓN CARD</v>
      </c>
      <c r="C228" s="20" t="str">
        <f>IFERROR(__xludf.DUMMYFUNCTION("""COMPUTED_VALUE"""),"ÚNICA")</f>
        <v>ÚNICA</v>
      </c>
    </row>
    <row r="229">
      <c r="A229" s="20">
        <f>IFERROR(__xludf.DUMMYFUNCTION("""COMPUTED_VALUE"""),91.0)</f>
        <v>91</v>
      </c>
      <c r="B229" s="20" t="str">
        <f>IFERROR(__xludf.DUMMYFUNCTION("""COMPUTED_VALUE"""),"ESTADIO")</f>
        <v>ESTADIO</v>
      </c>
      <c r="C229" s="20" t="str">
        <f>IFERROR(__xludf.DUMMYFUNCTION("""COMPUTED_VALUE"""),"RC CELTA")</f>
        <v>RC CELTA</v>
      </c>
    </row>
    <row r="230">
      <c r="A230" s="20">
        <f>IFERROR(__xludf.DUMMYFUNCTION("""COMPUTED_VALUE"""),163.0)</f>
        <v>163</v>
      </c>
      <c r="B230" s="20" t="str">
        <f>IFERROR(__xludf.DUMMYFUNCTION("""COMPUTED_VALUE"""),"ESTADIO")</f>
        <v>ESTADIO</v>
      </c>
      <c r="C230" s="20" t="str">
        <f>IFERROR(__xludf.DUMMYFUNCTION("""COMPUTED_VALUE"""),"GIRONA FC")</f>
        <v>GIRONA FC</v>
      </c>
    </row>
    <row r="231">
      <c r="A231" s="20">
        <f>IFERROR(__xludf.DUMMYFUNCTION("""COMPUTED_VALUE"""),181.0)</f>
        <v>181</v>
      </c>
      <c r="B231" s="20" t="str">
        <f>IFERROR(__xludf.DUMMYFUNCTION("""COMPUTED_VALUE"""),"ESTADIO")</f>
        <v>ESTADIO</v>
      </c>
      <c r="C231" s="20" t="str">
        <f>IFERROR(__xludf.DUMMYFUNCTION("""COMPUTED_VALUE"""),"LEVANTE UD")</f>
        <v>LEVANTE UD</v>
      </c>
    </row>
    <row r="232">
      <c r="A232" s="20">
        <f>IFERROR(__xludf.DUMMYFUNCTION("""COMPUTED_VALUE"""),217.0)</f>
        <v>217</v>
      </c>
      <c r="B232" s="20" t="str">
        <f>IFERROR(__xludf.DUMMYFUNCTION("""COMPUTED_VALUE"""),"ESTADIO")</f>
        <v>ESTADIO</v>
      </c>
      <c r="C232" s="20" t="str">
        <f>IFERROR(__xludf.DUMMYFUNCTION("""COMPUTED_VALUE"""),"RCD MALLORCA")</f>
        <v>RCD MALLORCA</v>
      </c>
    </row>
    <row r="233">
      <c r="A233" s="20">
        <f>IFERROR(__xludf.DUMMYFUNCTION("""COMPUTED_VALUE"""),235.0)</f>
        <v>235</v>
      </c>
      <c r="B233" s="20" t="str">
        <f>IFERROR(__xludf.DUMMYFUNCTION("""COMPUTED_VALUE"""),"ESTADIO")</f>
        <v>ESTADIO</v>
      </c>
      <c r="C233" s="20" t="str">
        <f>IFERROR(__xludf.DUMMYFUNCTION("""COMPUTED_VALUE"""),"CA OSASUNA")</f>
        <v>CA OSASUNA</v>
      </c>
    </row>
    <row r="234">
      <c r="A234" s="20">
        <f>IFERROR(__xludf.DUMMYFUNCTION("""COMPUTED_VALUE"""),271.0)</f>
        <v>271</v>
      </c>
      <c r="B234" s="20" t="str">
        <f>IFERROR(__xludf.DUMMYFUNCTION("""COMPUTED_VALUE"""),"ESTADIO")</f>
        <v>ESTADIO</v>
      </c>
      <c r="C234" s="20" t="str">
        <f>IFERROR(__xludf.DUMMYFUNCTION("""COMPUTED_VALUE"""),"RAYO VALLECANO")</f>
        <v>RAYO VALLECANO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3.88"/>
    <col customWidth="1" min="3" max="3" width="18.88"/>
  </cols>
  <sheetData>
    <row r="1">
      <c r="A1" s="20">
        <f>IFERROR(__xludf.DUMMYFUNCTION("QUERY({
  IFERROR(FILTER({REGULARES!A:C, REGULARES!E:E}, REGULARES!E:E&gt;0), {"""","""","""",""""});
  IFERROR(FILTER({'¡VAMOS! (361–380)'!A:C, '¡VAMOS! (361–380)'!E:E}, '¡VAMOS! (361–380)'!E:E&gt;0), {"""","""","""",""""});
  IFERROR(FILTER({'Guantes de Oro ("&amp;"381–387)'!A:C, 'Guantes de Oro (381–387)'!E:E}, 'Guantes de Oro (381–387)'!E:E&gt;0), {"""","""","""",""""});
  IFERROR(FILTER({'Kryptonita (388–396)'!A:C, 'Kryptonita (388–396)'!E:E}, 'Kryptonita (388–396)'!E:E&gt;0), {"""","""","""",""""});
  IFERROR(FILTER({"&amp;"'Diamantes (397–414)'!A:C, 'Diamantes (397–414)'!E:E}, 'Diamantes (397–414)'!E:E&gt;0), {"""","""","""",""""});
  IFERROR(FILTER({'Influencers (415–423)'!A:C, 'Influencers (415–423)'!E:E}, 'Influencers (415–423)'!E:E&gt;0), {"""","""","""",""""});
  IFERROR(FIL"&amp;"TER({'Protas (424–441)'!A:C, 'Protas (424–441)'!E:E}, 'Protas (424–441)'!E:E&gt;0), {"""","""","""",""""});
  IFERROR(FILTER({'Super Cracks (442–467)'!A:C, 'Super Cracks (442–467)'!E:E}, 'Super Cracks (442–467)'!E:E&gt;0), {"""","""","""",""""});
  IFERROR(FILT"&amp;"ER({'Cartas Top y Únicas (468–478)'!A:C, 'Cartas Top y Únicas (468–478)'!E:E}, 'Cartas Top y Únicas (468–478)'!E:E&gt;0), {"""","""","""",""""});
  IFERROR(FILTER({Estadios!A:C, Estadios!E:E}, Estadios!E:E&gt;0), {"""","""","""",""""})
}, ""select * where Col1 "&amp;"is not null order by Col1 asc"", 0)"),1.0)</f>
        <v>1</v>
      </c>
      <c r="B1" s="20" t="str">
        <f>IFERROR(__xludf.DUMMYFUNCTION("""COMPUTED_VALUE"""),"ESCUDO")</f>
        <v>ESCUDO</v>
      </c>
      <c r="C1" s="20" t="str">
        <f>IFERROR(__xludf.DUMMYFUNCTION("""COMPUTED_VALUE"""),"D. ALAVÉS")</f>
        <v>D. ALAVÉS</v>
      </c>
      <c r="D1" s="20">
        <f>IFERROR(__xludf.DUMMYFUNCTION("""COMPUTED_VALUE"""),1.0)</f>
        <v>1</v>
      </c>
    </row>
    <row r="2">
      <c r="A2" s="20">
        <f>IFERROR(__xludf.DUMMYFUNCTION("""COMPUTED_VALUE"""),4.0)</f>
        <v>4</v>
      </c>
      <c r="B2" s="20" t="str">
        <f>IFERROR(__xludf.DUMMYFUNCTION("""COMPUTED_VALUE"""),"JONNY")</f>
        <v>JONNY</v>
      </c>
      <c r="C2" s="20" t="str">
        <f>IFERROR(__xludf.DUMMYFUNCTION("""COMPUTED_VALUE"""),"D. ALAVÉS")</f>
        <v>D. ALAVÉS</v>
      </c>
      <c r="D2" s="20">
        <f>IFERROR(__xludf.DUMMYFUNCTION("""COMPUTED_VALUE"""),2.0)</f>
        <v>2</v>
      </c>
    </row>
    <row r="3">
      <c r="A3" s="20">
        <f>IFERROR(__xludf.DUMMYFUNCTION("""COMPUTED_VALUE"""),27.0)</f>
        <v>27</v>
      </c>
      <c r="B3" s="20" t="str">
        <f>IFERROR(__xludf.DUMMYFUNCTION("""COMPUTED_VALUE"""),"RUIZ DE GALARRETA")</f>
        <v>RUIZ DE GALARRETA</v>
      </c>
      <c r="C3" s="20" t="str">
        <f>IFERROR(__xludf.DUMMYFUNCTION("""COMPUTED_VALUE"""),"ATHLETIC CLUB")</f>
        <v>ATHLETIC CLUB</v>
      </c>
      <c r="D3" s="20">
        <f>IFERROR(__xludf.DUMMYFUNCTION("""COMPUTED_VALUE"""),1.0)</f>
        <v>1</v>
      </c>
    </row>
    <row r="4">
      <c r="A4" s="20">
        <f>IFERROR(__xludf.DUMMYFUNCTION("""COMPUTED_VALUE"""),34.0)</f>
        <v>34</v>
      </c>
      <c r="B4" s="20" t="str">
        <f>IFERROR(__xludf.DUMMYFUNCTION("""COMPUTED_VALUE"""),"MAROAN")</f>
        <v>MAROAN</v>
      </c>
      <c r="C4" s="20" t="str">
        <f>IFERROR(__xludf.DUMMYFUNCTION("""COMPUTED_VALUE"""),"ATHLETIC CLUB")</f>
        <v>ATHLETIC CLUB</v>
      </c>
      <c r="D4" s="20">
        <f>IFERROR(__xludf.DUMMYFUNCTION("""COMPUTED_VALUE"""),1.0)</f>
        <v>1</v>
      </c>
    </row>
    <row r="5">
      <c r="A5" s="20">
        <f>IFERROR(__xludf.DUMMYFUNCTION("""COMPUTED_VALUE"""),46.0)</f>
        <v>46</v>
      </c>
      <c r="B5" s="20" t="str">
        <f>IFERROR(__xludf.DUMMYFUNCTION("""COMPUTED_VALUE"""),"BARRIOS")</f>
        <v>BARRIOS</v>
      </c>
      <c r="C5" s="20" t="str">
        <f>IFERROR(__xludf.DUMMYFUNCTION("""COMPUTED_VALUE"""),"ATLÉTICO DE MADRID")</f>
        <v>ATLÉTICO DE MADRID</v>
      </c>
      <c r="D5" s="20">
        <f>IFERROR(__xludf.DUMMYFUNCTION("""COMPUTED_VALUE"""),1.0)</f>
        <v>1</v>
      </c>
    </row>
    <row r="6">
      <c r="A6" s="20">
        <f>IFERROR(__xludf.DUMMYFUNCTION("""COMPUTED_VALUE"""),49.0)</f>
        <v>49</v>
      </c>
      <c r="B6" s="20" t="str">
        <f>IFERROR(__xludf.DUMMYFUNCTION("""COMPUTED_VALUE"""),"ALMADA")</f>
        <v>ALMADA</v>
      </c>
      <c r="C6" s="20" t="str">
        <f>IFERROR(__xludf.DUMMYFUNCTION("""COMPUTED_VALUE"""),"ATLÉTICO DE MADRID")</f>
        <v>ATLÉTICO DE MADRID</v>
      </c>
      <c r="D6" s="20">
        <f>IFERROR(__xludf.DUMMYFUNCTION("""COMPUTED_VALUE"""),1.0)</f>
        <v>1</v>
      </c>
    </row>
    <row r="7">
      <c r="A7" s="20">
        <f>IFERROR(__xludf.DUMMYFUNCTION("""COMPUTED_VALUE"""),64.0)</f>
        <v>64</v>
      </c>
      <c r="B7" s="20" t="str">
        <f>IFERROR(__xludf.DUMMYFUNCTION("""COMPUTED_VALUE"""),"GAVI")</f>
        <v>GAVI</v>
      </c>
      <c r="C7" s="20" t="str">
        <f>IFERROR(__xludf.DUMMYFUNCTION("""COMPUTED_VALUE"""),"FC BARCELONA")</f>
        <v>FC BARCELONA</v>
      </c>
      <c r="D7" s="20">
        <f>IFERROR(__xludf.DUMMYFUNCTION("""COMPUTED_VALUE"""),1.0)</f>
        <v>1</v>
      </c>
    </row>
    <row r="8">
      <c r="A8" s="20">
        <f>IFERROR(__xludf.DUMMYFUNCTION("""COMPUTED_VALUE"""),67.0)</f>
        <v>67</v>
      </c>
      <c r="B8" s="20" t="str">
        <f>IFERROR(__xludf.DUMMYFUNCTION("""COMPUTED_VALUE"""),"DANI OLMO")</f>
        <v>DANI OLMO</v>
      </c>
      <c r="C8" s="20" t="str">
        <f>IFERROR(__xludf.DUMMYFUNCTION("""COMPUTED_VALUE"""),"FC BARCELONA")</f>
        <v>FC BARCELONA</v>
      </c>
      <c r="D8" s="20">
        <f>IFERROR(__xludf.DUMMYFUNCTION("""COMPUTED_VALUE"""),1.0)</f>
        <v>1</v>
      </c>
    </row>
    <row r="9">
      <c r="A9" s="20">
        <f>IFERROR(__xludf.DUMMYFUNCTION("""COMPUTED_VALUE"""),76.0)</f>
        <v>76</v>
      </c>
      <c r="B9" s="20" t="str">
        <f>IFERROR(__xludf.DUMMYFUNCTION("""COMPUTED_VALUE"""),"BELLERÍN")</f>
        <v>BELLERÍN</v>
      </c>
      <c r="C9" s="20" t="str">
        <f>IFERROR(__xludf.DUMMYFUNCTION("""COMPUTED_VALUE"""),"REAL BETIS")</f>
        <v>REAL BETIS</v>
      </c>
      <c r="D9" s="20">
        <f>IFERROR(__xludf.DUMMYFUNCTION("""COMPUTED_VALUE"""),1.0)</f>
        <v>1</v>
      </c>
    </row>
    <row r="10">
      <c r="A10" s="20">
        <f>IFERROR(__xludf.DUMMYFUNCTION("""COMPUTED_VALUE"""),81.0)</f>
        <v>81</v>
      </c>
      <c r="B10" s="20" t="str">
        <f>IFERROR(__xludf.DUMMYFUNCTION("""COMPUTED_VALUE"""),"JUNIOR")</f>
        <v>JUNIOR</v>
      </c>
      <c r="C10" s="20" t="str">
        <f>IFERROR(__xludf.DUMMYFUNCTION("""COMPUTED_VALUE"""),"REAL BETIS")</f>
        <v>REAL BETIS</v>
      </c>
      <c r="D10" s="20">
        <f>IFERROR(__xludf.DUMMYFUNCTION("""COMPUTED_VALUE"""),1.0)</f>
        <v>1</v>
      </c>
    </row>
    <row r="11">
      <c r="A11" s="20">
        <f>IFERROR(__xludf.DUMMYFUNCTION("""COMPUTED_VALUE"""),107.0)</f>
        <v>107</v>
      </c>
      <c r="B11" s="20" t="str">
        <f>IFERROR(__xludf.DUMMYFUNCTION("""COMPUTED_VALUE"""),"BORJA IGLESIAS")</f>
        <v>BORJA IGLESIAS</v>
      </c>
      <c r="C11" s="20" t="str">
        <f>IFERROR(__xludf.DUMMYFUNCTION("""COMPUTED_VALUE"""),"RC CELTA")</f>
        <v>RC CELTA</v>
      </c>
      <c r="D11" s="20">
        <f>IFERROR(__xludf.DUMMYFUNCTION("""COMPUTED_VALUE"""),1.0)</f>
        <v>1</v>
      </c>
    </row>
    <row r="12">
      <c r="A12" s="20">
        <f>IFERROR(__xludf.DUMMYFUNCTION("""COMPUTED_VALUE"""),108.0)</f>
        <v>108</v>
      </c>
      <c r="B12" s="20" t="str">
        <f>IFERROR(__xludf.DUMMYFUNCTION("""COMPUTED_VALUE"""),"JUTGLÀ")</f>
        <v>JUTGLÀ</v>
      </c>
      <c r="C12" s="20" t="str">
        <f>IFERROR(__xludf.DUMMYFUNCTION("""COMPUTED_VALUE"""),"RC CELTA")</f>
        <v>RC CELTA</v>
      </c>
      <c r="D12" s="20">
        <f>IFERROR(__xludf.DUMMYFUNCTION("""COMPUTED_VALUE"""),2.0)</f>
        <v>2</v>
      </c>
    </row>
    <row r="13">
      <c r="A13" s="20">
        <f>IFERROR(__xludf.DUMMYFUNCTION("""COMPUTED_VALUE"""),110.0)</f>
        <v>110</v>
      </c>
      <c r="B13" s="20" t="str">
        <f>IFERROR(__xludf.DUMMYFUNCTION("""COMPUTED_VALUE"""),"IÑAKI PEÑA")</f>
        <v>IÑAKI PEÑA</v>
      </c>
      <c r="C13" s="20" t="str">
        <f>IFERROR(__xludf.DUMMYFUNCTION("""COMPUTED_VALUE"""),"ELCHE CF")</f>
        <v>ELCHE CF</v>
      </c>
      <c r="D13" s="20">
        <f>IFERROR(__xludf.DUMMYFUNCTION("""COMPUTED_VALUE"""),2.0)</f>
        <v>2</v>
      </c>
    </row>
    <row r="14">
      <c r="A14" s="20">
        <f>IFERROR(__xludf.DUMMYFUNCTION("""COMPUTED_VALUE"""),121.0)</f>
        <v>121</v>
      </c>
      <c r="B14" s="20" t="str">
        <f>IFERROR(__xludf.DUMMYFUNCTION("""COMPUTED_VALUE"""),"MARC AGUADO")</f>
        <v>MARC AGUADO</v>
      </c>
      <c r="C14" s="20" t="str">
        <f>IFERROR(__xludf.DUMMYFUNCTION("""COMPUTED_VALUE"""),"ELCHE CF")</f>
        <v>ELCHE CF</v>
      </c>
      <c r="D14" s="20">
        <f>IFERROR(__xludf.DUMMYFUNCTION("""COMPUTED_VALUE"""),1.0)</f>
        <v>1</v>
      </c>
    </row>
    <row r="15">
      <c r="A15" s="20">
        <f>IFERROR(__xludf.DUMMYFUNCTION("""COMPUTED_VALUE"""),127.0)</f>
        <v>127</v>
      </c>
      <c r="B15" s="20" t="str">
        <f>IFERROR(__xludf.DUMMYFUNCTION("""COMPUTED_VALUE"""),"ESCUDO")</f>
        <v>ESCUDO</v>
      </c>
      <c r="C15" s="20" t="str">
        <f>IFERROR(__xludf.DUMMYFUNCTION("""COMPUTED_VALUE"""),"RCD ESPANYOL")</f>
        <v>RCD ESPANYOL</v>
      </c>
      <c r="D15" s="20">
        <f>IFERROR(__xludf.DUMMYFUNCTION("""COMPUTED_VALUE"""),1.0)</f>
        <v>1</v>
      </c>
    </row>
    <row r="16">
      <c r="A16" s="20">
        <f>IFERROR(__xludf.DUMMYFUNCTION("""COMPUTED_VALUE"""),130.0)</f>
        <v>130</v>
      </c>
      <c r="B16" s="20" t="str">
        <f>IFERROR(__xludf.DUMMYFUNCTION("""COMPUTED_VALUE"""),"EL HILALI")</f>
        <v>EL HILALI</v>
      </c>
      <c r="C16" s="20" t="str">
        <f>IFERROR(__xludf.DUMMYFUNCTION("""COMPUTED_VALUE"""),"RCD ESPANYOL")</f>
        <v>RCD ESPANYOL</v>
      </c>
      <c r="D16" s="20">
        <f>IFERROR(__xludf.DUMMYFUNCTION("""COMPUTED_VALUE"""),1.0)</f>
        <v>1</v>
      </c>
    </row>
    <row r="17">
      <c r="A17" s="20">
        <f>IFERROR(__xludf.DUMMYFUNCTION("""COMPUTED_VALUE"""),154.0)</f>
        <v>154</v>
      </c>
      <c r="B17" s="20" t="str">
        <f>IFERROR(__xludf.DUMMYFUNCTION("""COMPUTED_VALUE"""),"DAVINCHI")</f>
        <v>DAVINCHI</v>
      </c>
      <c r="C17" s="20" t="str">
        <f>IFERROR(__xludf.DUMMYFUNCTION("""COMPUTED_VALUE"""),"GETAFE CF")</f>
        <v>GETAFE CF</v>
      </c>
      <c r="D17" s="20">
        <f>IFERROR(__xludf.DUMMYFUNCTION("""COMPUTED_VALUE"""),1.0)</f>
        <v>1</v>
      </c>
    </row>
    <row r="18">
      <c r="A18" s="20">
        <f>IFERROR(__xludf.DUMMYFUNCTION("""COMPUTED_VALUE"""),176.0)</f>
        <v>176</v>
      </c>
      <c r="B18" s="20" t="str">
        <f>IFERROR(__xludf.DUMMYFUNCTION("""COMPUTED_VALUE"""),"JOEL ROCA")</f>
        <v>JOEL ROCA</v>
      </c>
      <c r="C18" s="20" t="str">
        <f>IFERROR(__xludf.DUMMYFUNCTION("""COMPUTED_VALUE"""),"GIRONA FC")</f>
        <v>GIRONA FC</v>
      </c>
      <c r="D18" s="20">
        <f>IFERROR(__xludf.DUMMYFUNCTION("""COMPUTED_VALUE"""),1.0)</f>
        <v>1</v>
      </c>
    </row>
    <row r="19">
      <c r="A19" s="20">
        <f>IFERROR(__xludf.DUMMYFUNCTION("""COMPUTED_VALUE"""),180.0)</f>
        <v>180</v>
      </c>
      <c r="B19" s="20" t="str">
        <f>IFERROR(__xludf.DUMMYFUNCTION("""COMPUTED_VALUE"""),"BRYAN GIL")</f>
        <v>BRYAN GIL</v>
      </c>
      <c r="C19" s="20" t="str">
        <f>IFERROR(__xludf.DUMMYFUNCTION("""COMPUTED_VALUE"""),"GIRONA FC")</f>
        <v>GIRONA FC</v>
      </c>
      <c r="D19" s="20">
        <f>IFERROR(__xludf.DUMMYFUNCTION("""COMPUTED_VALUE"""),1.0)</f>
        <v>1</v>
      </c>
    </row>
    <row r="20">
      <c r="A20" s="20">
        <f>IFERROR(__xludf.DUMMYFUNCTION("""COMPUTED_VALUE"""),202.0)</f>
        <v>202</v>
      </c>
      <c r="B20" s="20" t="str">
        <f>IFERROR(__xludf.DUMMYFUNCTION("""COMPUTED_VALUE"""),"CARVAJAL")</f>
        <v>CARVAJAL</v>
      </c>
      <c r="C20" s="20" t="str">
        <f>IFERROR(__xludf.DUMMYFUNCTION("""COMPUTED_VALUE"""),"REAL MADRID")</f>
        <v>REAL MADRID</v>
      </c>
      <c r="D20" s="20">
        <f>IFERROR(__xludf.DUMMYFUNCTION("""COMPUTED_VALUE"""),1.0)</f>
        <v>1</v>
      </c>
    </row>
    <row r="21">
      <c r="A21" s="20">
        <f>IFERROR(__xludf.DUMMYFUNCTION("""COMPUTED_VALUE"""),209.0)</f>
        <v>209</v>
      </c>
      <c r="B21" s="20" t="str">
        <f>IFERROR(__xludf.DUMMYFUNCTION("""COMPUTED_VALUE"""),"FEDE VALVERDE")</f>
        <v>FEDE VALVERDE</v>
      </c>
      <c r="C21" s="20" t="str">
        <f>IFERROR(__xludf.DUMMYFUNCTION("""COMPUTED_VALUE"""),"REAL MADRID")</f>
        <v>REAL MADRID</v>
      </c>
      <c r="D21" s="20">
        <f>IFERROR(__xludf.DUMMYFUNCTION("""COMPUTED_VALUE"""),1.0)</f>
        <v>1</v>
      </c>
    </row>
    <row r="22">
      <c r="A22" s="20">
        <f>IFERROR(__xludf.DUMMYFUNCTION("""COMPUTED_VALUE"""),235.0)</f>
        <v>235</v>
      </c>
      <c r="B22" s="20" t="str">
        <f>IFERROR(__xludf.DUMMYFUNCTION("""COMPUTED_VALUE"""),"ESCUDO")</f>
        <v>ESCUDO</v>
      </c>
      <c r="C22" s="20" t="str">
        <f>IFERROR(__xludf.DUMMYFUNCTION("""COMPUTED_VALUE"""),"CA OSASUNA")</f>
        <v>CA OSASUNA</v>
      </c>
      <c r="D22" s="20">
        <f>IFERROR(__xludf.DUMMYFUNCTION("""COMPUTED_VALUE"""),1.0)</f>
        <v>1</v>
      </c>
    </row>
    <row r="23">
      <c r="A23" s="20">
        <f>IFERROR(__xludf.DUMMYFUNCTION("""COMPUTED_VALUE"""),240.0)</f>
        <v>240</v>
      </c>
      <c r="B23" s="20" t="str">
        <f>IFERROR(__xludf.DUMMYFUNCTION("""COMPUTED_VALUE"""),"CATENA")</f>
        <v>CATENA</v>
      </c>
      <c r="C23" s="20" t="str">
        <f>IFERROR(__xludf.DUMMYFUNCTION("""COMPUTED_VALUE"""),"CA OSASUNA")</f>
        <v>CA OSASUNA</v>
      </c>
      <c r="D23" s="20">
        <f>IFERROR(__xludf.DUMMYFUNCTION("""COMPUTED_VALUE"""),1.0)</f>
        <v>1</v>
      </c>
    </row>
    <row r="24">
      <c r="A24" s="20">
        <f>IFERROR(__xludf.DUMMYFUNCTION("""COMPUTED_VALUE"""),259.0)</f>
        <v>259</v>
      </c>
      <c r="B24" s="20" t="str">
        <f>IFERROR(__xludf.DUMMYFUNCTION("""COMPUTED_VALUE"""),"DANI CALVO")</f>
        <v>DANI CALVO</v>
      </c>
      <c r="C24" s="20" t="str">
        <f>IFERROR(__xludf.DUMMYFUNCTION("""COMPUTED_VALUE"""),"REAL OVIEDO")</f>
        <v>REAL OVIEDO</v>
      </c>
      <c r="D24" s="20">
        <f>IFERROR(__xludf.DUMMYFUNCTION("""COMPUTED_VALUE"""),1.0)</f>
        <v>1</v>
      </c>
    </row>
    <row r="25">
      <c r="A25" s="20">
        <f>IFERROR(__xludf.DUMMYFUNCTION("""COMPUTED_VALUE"""),269.0)</f>
        <v>269</v>
      </c>
      <c r="B25" s="20" t="str">
        <f>IFERROR(__xludf.DUMMYFUNCTION("""COMPUTED_VALUE"""),"FEDE VIÑAS")</f>
        <v>FEDE VIÑAS</v>
      </c>
      <c r="C25" s="20" t="str">
        <f>IFERROR(__xludf.DUMMYFUNCTION("""COMPUTED_VALUE"""),"REAL OVIEDO")</f>
        <v>REAL OVIEDO</v>
      </c>
      <c r="D25" s="20">
        <f>IFERROR(__xludf.DUMMYFUNCTION("""COMPUTED_VALUE"""),1.0)</f>
        <v>1</v>
      </c>
    </row>
    <row r="26">
      <c r="A26" s="20">
        <f>IFERROR(__xludf.DUMMYFUNCTION("""COMPUTED_VALUE"""),272.0)</f>
        <v>272</v>
      </c>
      <c r="B26" s="20" t="str">
        <f>IFERROR(__xludf.DUMMYFUNCTION("""COMPUTED_VALUE"""),"BATALLA")</f>
        <v>BATALLA</v>
      </c>
      <c r="C26" s="20" t="str">
        <f>IFERROR(__xludf.DUMMYFUNCTION("""COMPUTED_VALUE"""),"RAYO VALLECANO")</f>
        <v>RAYO VALLECANO</v>
      </c>
      <c r="D26" s="20">
        <f>IFERROR(__xludf.DUMMYFUNCTION("""COMPUTED_VALUE"""),1.0)</f>
        <v>1</v>
      </c>
    </row>
    <row r="27">
      <c r="A27" s="20">
        <f>IFERROR(__xludf.DUMMYFUNCTION("""COMPUTED_VALUE"""),281.0)</f>
        <v>281</v>
      </c>
      <c r="B27" s="20" t="str">
        <f>IFERROR(__xludf.DUMMYFUNCTION("""COMPUTED_VALUE"""),"ÓSCAR VALENTÍN")</f>
        <v>ÓSCAR VALENTÍN</v>
      </c>
      <c r="C27" s="20" t="str">
        <f>IFERROR(__xludf.DUMMYFUNCTION("""COMPUTED_VALUE"""),"RAYO VALLECANO")</f>
        <v>RAYO VALLECANO</v>
      </c>
      <c r="D27" s="20">
        <f>IFERROR(__xludf.DUMMYFUNCTION("""COMPUTED_VALUE"""),1.0)</f>
        <v>1</v>
      </c>
    </row>
    <row r="28">
      <c r="A28" s="20">
        <f>IFERROR(__xludf.DUMMYFUNCTION("""COMPUTED_VALUE"""),283.0)</f>
        <v>283</v>
      </c>
      <c r="B28" s="20" t="str">
        <f>IFERROR(__xludf.DUMMYFUNCTION("""COMPUTED_VALUE"""),"PEDRO DÍAZ")</f>
        <v>PEDRO DÍAZ</v>
      </c>
      <c r="C28" s="20" t="str">
        <f>IFERROR(__xludf.DUMMYFUNCTION("""COMPUTED_VALUE"""),"RAYO VALLECANO")</f>
        <v>RAYO VALLECANO</v>
      </c>
      <c r="D28" s="20">
        <f>IFERROR(__xludf.DUMMYFUNCTION("""COMPUTED_VALUE"""),1.0)</f>
        <v>1</v>
      </c>
    </row>
    <row r="29">
      <c r="A29" s="20">
        <f>IFERROR(__xludf.DUMMYFUNCTION("""COMPUTED_VALUE"""),292.0)</f>
        <v>292</v>
      </c>
      <c r="B29" s="20" t="str">
        <f>IFERROR(__xludf.DUMMYFUNCTION("""COMPUTED_VALUE"""),"ARAMBURU")</f>
        <v>ARAMBURU</v>
      </c>
      <c r="C29" s="20" t="str">
        <f>IFERROR(__xludf.DUMMYFUNCTION("""COMPUTED_VALUE"""),"REAL SOCIEDAD")</f>
        <v>REAL SOCIEDAD</v>
      </c>
      <c r="D29" s="20">
        <f>IFERROR(__xludf.DUMMYFUNCTION("""COMPUTED_VALUE"""),1.0)</f>
        <v>1</v>
      </c>
    </row>
    <row r="30">
      <c r="A30" s="20">
        <f>IFERROR(__xludf.DUMMYFUNCTION("""COMPUTED_VALUE"""),295.0)</f>
        <v>295</v>
      </c>
      <c r="B30" s="20" t="str">
        <f>IFERROR(__xludf.DUMMYFUNCTION("""COMPUTED_VALUE"""),"CALETA-CAR")</f>
        <v>CALETA-CAR</v>
      </c>
      <c r="C30" s="20" t="str">
        <f>IFERROR(__xludf.DUMMYFUNCTION("""COMPUTED_VALUE"""),"REAL SOCIEDAD")</f>
        <v>REAL SOCIEDAD</v>
      </c>
      <c r="D30" s="20">
        <f>IFERROR(__xludf.DUMMYFUNCTION("""COMPUTED_VALUE"""),1.0)</f>
        <v>1</v>
      </c>
    </row>
    <row r="31">
      <c r="A31" s="20">
        <f>IFERROR(__xludf.DUMMYFUNCTION("""COMPUTED_VALUE"""),309.0)</f>
        <v>309</v>
      </c>
      <c r="B31" s="20" t="str">
        <f>IFERROR(__xludf.DUMMYFUNCTION("""COMPUTED_VALUE"""),"NYLAND")</f>
        <v>NYLAND</v>
      </c>
      <c r="C31" s="20" t="str">
        <f>IFERROR(__xludf.DUMMYFUNCTION("""COMPUTED_VALUE"""),"SEVILLA FC")</f>
        <v>SEVILLA FC</v>
      </c>
      <c r="D31" s="20">
        <f>IFERROR(__xludf.DUMMYFUNCTION("""COMPUTED_VALUE"""),1.0)</f>
        <v>1</v>
      </c>
    </row>
    <row r="32">
      <c r="A32" s="20">
        <f>IFERROR(__xludf.DUMMYFUNCTION("""COMPUTED_VALUE"""),313.0)</f>
        <v>313</v>
      </c>
      <c r="B32" s="20" t="str">
        <f>IFERROR(__xludf.DUMMYFUNCTION("""COMPUTED_VALUE"""),"KIKE SALAS")</f>
        <v>KIKE SALAS</v>
      </c>
      <c r="C32" s="20" t="str">
        <f>IFERROR(__xludf.DUMMYFUNCTION("""COMPUTED_VALUE"""),"SEVILLA FC")</f>
        <v>SEVILLA FC</v>
      </c>
      <c r="D32" s="20">
        <f>IFERROR(__xludf.DUMMYFUNCTION("""COMPUTED_VALUE"""),2.0)</f>
        <v>2</v>
      </c>
    </row>
    <row r="33">
      <c r="A33" s="20">
        <f>IFERROR(__xludf.DUMMYFUNCTION("""COMPUTED_VALUE"""),317.0)</f>
        <v>317</v>
      </c>
      <c r="B33" s="20" t="str">
        <f>IFERROR(__xludf.DUMMYFUNCTION("""COMPUTED_VALUE"""),"AGOUME")</f>
        <v>AGOUME</v>
      </c>
      <c r="C33" s="20" t="str">
        <f>IFERROR(__xludf.DUMMYFUNCTION("""COMPUTED_VALUE"""),"SEVILLA FC")</f>
        <v>SEVILLA FC</v>
      </c>
      <c r="D33" s="20">
        <f>IFERROR(__xludf.DUMMYFUNCTION("""COMPUTED_VALUE"""),1.0)</f>
        <v>1</v>
      </c>
    </row>
    <row r="34">
      <c r="A34" s="20">
        <f>IFERROR(__xludf.DUMMYFUNCTION("""COMPUTED_VALUE"""),323.0)</f>
        <v>323</v>
      </c>
      <c r="B34" s="20" t="str">
        <f>IFERROR(__xludf.DUMMYFUNCTION("""COMPUTED_VALUE"""),"AKOR ADAMS")</f>
        <v>AKOR ADAMS</v>
      </c>
      <c r="C34" s="20" t="str">
        <f>IFERROR(__xludf.DUMMYFUNCTION("""COMPUTED_VALUE"""),"SEVILLA FC")</f>
        <v>SEVILLA FC</v>
      </c>
      <c r="D34" s="20">
        <f>IFERROR(__xludf.DUMMYFUNCTION("""COMPUTED_VALUE"""),1.0)</f>
        <v>1</v>
      </c>
    </row>
    <row r="35">
      <c r="A35" s="20">
        <f>IFERROR(__xludf.DUMMYFUNCTION("""COMPUTED_VALUE"""),330.0)</f>
        <v>330</v>
      </c>
      <c r="B35" s="20" t="str">
        <f>IFERROR(__xludf.DUMMYFUNCTION("""COMPUTED_VALUE"""),"TÁRREGA")</f>
        <v>TÁRREGA</v>
      </c>
      <c r="C35" s="20" t="str">
        <f>IFERROR(__xludf.DUMMYFUNCTION("""COMPUTED_VALUE"""),"VALENCIA CF")</f>
        <v>VALENCIA CF</v>
      </c>
      <c r="D35" s="20">
        <f>IFERROR(__xludf.DUMMYFUNCTION("""COMPUTED_VALUE"""),1.0)</f>
        <v>1</v>
      </c>
    </row>
    <row r="36">
      <c r="A36" s="20">
        <f>IFERROR(__xludf.DUMMYFUNCTION("""COMPUTED_VALUE"""),333.0)</f>
        <v>333</v>
      </c>
      <c r="B36" s="20" t="str">
        <f>IFERROR(__xludf.DUMMYFUNCTION("""COMPUTED_VALUE"""),"GAYÀ")</f>
        <v>GAYÀ</v>
      </c>
      <c r="C36" s="20" t="str">
        <f>IFERROR(__xludf.DUMMYFUNCTION("""COMPUTED_VALUE"""),"VALENCIA CF")</f>
        <v>VALENCIA CF</v>
      </c>
      <c r="D36" s="20">
        <f>IFERROR(__xludf.DUMMYFUNCTION("""COMPUTED_VALUE"""),1.0)</f>
        <v>1</v>
      </c>
    </row>
    <row r="37">
      <c r="A37" s="20">
        <f>IFERROR(__xludf.DUMMYFUNCTION("""COMPUTED_VALUE"""),338.0)</f>
        <v>338</v>
      </c>
      <c r="B37" s="20" t="str">
        <f>IFERROR(__xludf.DUMMYFUNCTION("""COMPUTED_VALUE"""),"LUIS RIOJA")</f>
        <v>LUIS RIOJA</v>
      </c>
      <c r="C37" s="20" t="str">
        <f>IFERROR(__xludf.DUMMYFUNCTION("""COMPUTED_VALUE"""),"VALENCIA CF")</f>
        <v>VALENCIA CF</v>
      </c>
      <c r="D37" s="20">
        <f>IFERROR(__xludf.DUMMYFUNCTION("""COMPUTED_VALUE"""),1.0)</f>
        <v>1</v>
      </c>
    </row>
    <row r="38">
      <c r="A38" s="20">
        <f>IFERROR(__xludf.DUMMYFUNCTION("""COMPUTED_VALUE"""),343.0)</f>
        <v>343</v>
      </c>
      <c r="B38" s="20" t="str">
        <f>IFERROR(__xludf.DUMMYFUNCTION("""COMPUTED_VALUE"""),"ESCUDO")</f>
        <v>ESCUDO</v>
      </c>
      <c r="C38" s="20" t="str">
        <f>IFERROR(__xludf.DUMMYFUNCTION("""COMPUTED_VALUE"""),"VILLARREAL CF")</f>
        <v>VILLARREAL CF</v>
      </c>
      <c r="D38" s="20">
        <f>IFERROR(__xludf.DUMMYFUNCTION("""COMPUTED_VALUE"""),1.0)</f>
        <v>1</v>
      </c>
    </row>
    <row r="39">
      <c r="A39" s="20">
        <f>IFERROR(__xludf.DUMMYFUNCTION("""COMPUTED_VALUE"""),343.0)</f>
        <v>343</v>
      </c>
      <c r="B39" s="20" t="str">
        <f>IFERROR(__xludf.DUMMYFUNCTION("""COMPUTED_VALUE"""),"ESTADIO")</f>
        <v>ESTADIO</v>
      </c>
      <c r="C39" s="20" t="str">
        <f>IFERROR(__xludf.DUMMYFUNCTION("""COMPUTED_VALUE"""),"VILLARREAL CF")</f>
        <v>VILLARREAL CF</v>
      </c>
      <c r="D39" s="20">
        <f>IFERROR(__xludf.DUMMYFUNCTION("""COMPUTED_VALUE"""),1.0)</f>
        <v>1</v>
      </c>
    </row>
    <row r="40">
      <c r="A40" s="20">
        <f>IFERROR(__xludf.DUMMYFUNCTION("""COMPUTED_VALUE"""),352.0)</f>
        <v>352</v>
      </c>
      <c r="B40" s="20" t="str">
        <f>IFERROR(__xludf.DUMMYFUNCTION("""COMPUTED_VALUE"""),"PAPE GUEYE")</f>
        <v>PAPE GUEYE</v>
      </c>
      <c r="C40" s="20" t="str">
        <f>IFERROR(__xludf.DUMMYFUNCTION("""COMPUTED_VALUE"""),"VILLARREAL CF")</f>
        <v>VILLARREAL CF</v>
      </c>
      <c r="D40" s="20">
        <f>IFERROR(__xludf.DUMMYFUNCTION("""COMPUTED_VALUE"""),2.0)</f>
        <v>2</v>
      </c>
    </row>
    <row r="41">
      <c r="A41" s="20">
        <f>IFERROR(__xludf.DUMMYFUNCTION("""COMPUTED_VALUE"""),369.0)</f>
        <v>369</v>
      </c>
      <c r="B41" s="20" t="str">
        <f>IFERROR(__xludf.DUMMYFUNCTION("""COMPUTED_VALUE"""),"GETAFE CF")</f>
        <v>GETAFE CF</v>
      </c>
      <c r="C41" s="20" t="str">
        <f>IFERROR(__xludf.DUMMYFUNCTION("""COMPUTED_VALUE"""),"¡VAMOS!")</f>
        <v>¡VAMOS!</v>
      </c>
      <c r="D41" s="20">
        <f>IFERROR(__xludf.DUMMYFUNCTION("""COMPUTED_VALUE"""),1.0)</f>
        <v>1</v>
      </c>
    </row>
    <row r="42">
      <c r="A42" s="20">
        <f>IFERROR(__xludf.DUMMYFUNCTION("""COMPUTED_VALUE"""),392.0)</f>
        <v>392</v>
      </c>
      <c r="B42" s="20" t="str">
        <f>IFERROR(__xludf.DUMMYFUNCTION("""COMPUTED_VALUE"""),"CABRERA")</f>
        <v>CABRERA</v>
      </c>
      <c r="C42" s="20" t="str">
        <f>IFERROR(__xludf.DUMMYFUNCTION("""COMPUTED_VALUE"""),"RCD ESPANYOL")</f>
        <v>RCD ESPANYOL</v>
      </c>
      <c r="D42" s="20">
        <f>IFERROR(__xludf.DUMMYFUNCTION("""COMPUTED_VALUE"""),2.0)</f>
        <v>2</v>
      </c>
    </row>
    <row r="43">
      <c r="A43" s="20">
        <f>IFERROR(__xludf.DUMMYFUNCTION("""COMPUTED_VALUE"""),404.0)</f>
        <v>404</v>
      </c>
      <c r="B43" s="20" t="str">
        <f>IFERROR(__xludf.DUMMYFUNCTION("""COMPUTED_VALUE"""),"LISO")</f>
        <v>LISO</v>
      </c>
      <c r="C43" s="20" t="str">
        <f>IFERROR(__xludf.DUMMYFUNCTION("""COMPUTED_VALUE"""),"GETAFE CF")</f>
        <v>GETAFE CF</v>
      </c>
      <c r="D43" s="20">
        <f>IFERROR(__xludf.DUMMYFUNCTION("""COMPUTED_VALUE"""),1.0)</f>
        <v>1</v>
      </c>
    </row>
    <row r="44">
      <c r="A44" s="20">
        <f>IFERROR(__xludf.DUMMYFUNCTION("""COMPUTED_VALUE"""),409.0)</f>
        <v>409</v>
      </c>
      <c r="B44" s="20" t="str">
        <f>IFERROR(__xludf.DUMMYFUNCTION("""COMPUTED_VALUE"""),"FRAN GONZÁLEZ")</f>
        <v>FRAN GONZÁLEZ</v>
      </c>
      <c r="C44" s="20" t="str">
        <f>IFERROR(__xludf.DUMMYFUNCTION("""COMPUTED_VALUE"""),"REAL MADRID")</f>
        <v>REAL MADRID</v>
      </c>
      <c r="D44" s="20">
        <f>IFERROR(__xludf.DUMMYFUNCTION("""COMPUTED_VALUE"""),1.0)</f>
        <v>1</v>
      </c>
    </row>
    <row r="45">
      <c r="A45" s="20">
        <f>IFERROR(__xludf.DUMMYFUNCTION("""COMPUTED_VALUE"""),414.0)</f>
        <v>414</v>
      </c>
      <c r="B45" s="20" t="str">
        <f>IFERROR(__xludf.DUMMYFUNCTION("""COMPUTED_VALUE"""),"RENATO VEIGA")</f>
        <v>RENATO VEIGA</v>
      </c>
      <c r="C45" s="20" t="str">
        <f>IFERROR(__xludf.DUMMYFUNCTION("""COMPUTED_VALUE"""),"VILLARREAL CF")</f>
        <v>VILLARREAL CF</v>
      </c>
      <c r="D45" s="20">
        <f>IFERROR(__xludf.DUMMYFUNCTION("""COMPUTED_VALUE"""),1.0)</f>
        <v>1</v>
      </c>
    </row>
    <row r="46">
      <c r="A46" s="20">
        <f>IFERROR(__xludf.DUMMYFUNCTION("""COMPUTED_VALUE"""),415.0)</f>
        <v>415</v>
      </c>
      <c r="B46" s="20" t="str">
        <f>IFERROR(__xludf.DUMMYFUNCTION("""COMPUTED_VALUE"""),"BARRIOS")</f>
        <v>BARRIOS</v>
      </c>
      <c r="C46" s="20" t="str">
        <f>IFERROR(__xludf.DUMMYFUNCTION("""COMPUTED_VALUE"""),"ATLÉTICO DE MADRID")</f>
        <v>ATLÉTICO DE MADRID</v>
      </c>
      <c r="D46" s="20">
        <f>IFERROR(__xludf.DUMMYFUNCTION("""COMPUTED_VALUE"""),1.0)</f>
        <v>1</v>
      </c>
    </row>
    <row r="47">
      <c r="A47" s="20">
        <f>IFERROR(__xludf.DUMMYFUNCTION("""COMPUTED_VALUE"""),416.0)</f>
        <v>416</v>
      </c>
      <c r="B47" s="20" t="str">
        <f>IFERROR(__xludf.DUMMYFUNCTION("""COMPUTED_VALUE"""),"SOTELO")</f>
        <v>SOTELO</v>
      </c>
      <c r="C47" s="20" t="str">
        <f>IFERROR(__xludf.DUMMYFUNCTION("""COMPUTED_VALUE"""),"RC CELTA")</f>
        <v>RC CELTA</v>
      </c>
      <c r="D47" s="20">
        <f>IFERROR(__xludf.DUMMYFUNCTION("""COMPUTED_VALUE"""),1.0)</f>
        <v>1</v>
      </c>
    </row>
    <row r="48">
      <c r="A48" s="20">
        <f>IFERROR(__xludf.DUMMYFUNCTION("""COMPUTED_VALUE"""),447.0)</f>
        <v>447</v>
      </c>
      <c r="B48" s="20" t="str">
        <f>IFERROR(__xludf.DUMMYFUNCTION("""COMPUTED_VALUE"""),"ALMADA")</f>
        <v>ALMADA</v>
      </c>
      <c r="C48" s="20" t="str">
        <f>IFERROR(__xludf.DUMMYFUNCTION("""COMPUTED_VALUE"""),"ATLÉTICO DE MADRID")</f>
        <v>ATLÉTICO DE MADRID</v>
      </c>
      <c r="D48" s="20">
        <f>IFERROR(__xludf.DUMMYFUNCTION("""COMPUTED_VALUE"""),1.0)</f>
        <v>1</v>
      </c>
    </row>
    <row r="49">
      <c r="A49" s="20">
        <f>IFERROR(__xludf.DUMMYFUNCTION("""COMPUTED_VALUE"""),452.0)</f>
        <v>452</v>
      </c>
      <c r="B49" s="20" t="str">
        <f>IFERROR(__xludf.DUMMYFUNCTION("""COMPUTED_VALUE"""),"LEWANDOWSKI")</f>
        <v>LEWANDOWSKI</v>
      </c>
      <c r="C49" s="20" t="str">
        <f>IFERROR(__xludf.DUMMYFUNCTION("""COMPUTED_VALUE"""),"FC BARCELONA")</f>
        <v>FC BARCELONA</v>
      </c>
      <c r="D49" s="20">
        <f>IFERROR(__xludf.DUMMYFUNCTION("""COMPUTED_VALUE"""),1.0)</f>
        <v>1</v>
      </c>
    </row>
    <row r="50">
      <c r="A50" s="20">
        <f>IFERROR(__xludf.DUMMYFUNCTION("""COMPUTED_VALUE"""),465.0)</f>
        <v>465</v>
      </c>
      <c r="B50" s="20" t="str">
        <f>IFERROR(__xludf.DUMMYFUNCTION("""COMPUTED_VALUE"""),"JAVI GUERRA")</f>
        <v>JAVI GUERRA</v>
      </c>
      <c r="C50" s="20" t="str">
        <f>IFERROR(__xludf.DUMMYFUNCTION("""COMPUTED_VALUE"""),"VALENCIA CF")</f>
        <v>VALENCIA CF</v>
      </c>
      <c r="D50" s="20">
        <f>IFERROR(__xludf.DUMMYFUNCTION("""COMPUTED_VALUE"""),1.0)</f>
        <v>1</v>
      </c>
    </row>
    <row r="51">
      <c r="A51" s="20">
        <f>IFERROR(__xludf.DUMMYFUNCTION("""COMPUTED_VALUE"""),469.0)</f>
        <v>469</v>
      </c>
      <c r="B51" s="20" t="str">
        <f>IFERROR(__xludf.DUMMYFUNCTION("""COMPUTED_VALUE"""),"NICO WILLIAMS")</f>
        <v>NICO WILLIAMS</v>
      </c>
      <c r="C51" s="20" t="str">
        <f>IFERROR(__xludf.DUMMYFUNCTION("""COMPUTED_VALUE"""),"BALÓN DE ORO (ATHLETIC)")</f>
        <v>BALÓN DE ORO (ATHLETIC)</v>
      </c>
      <c r="D51" s="20">
        <f>IFERROR(__xludf.DUMMYFUNCTION("""COMPUTED_VALUE"""),2.0)</f>
        <v>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17.75"/>
  </cols>
  <sheetData>
    <row r="1">
      <c r="A1" s="21">
        <v>1.0</v>
      </c>
      <c r="B1" s="21" t="s">
        <v>18</v>
      </c>
      <c r="C1" s="21" t="s">
        <v>19</v>
      </c>
      <c r="D1" s="21" t="s">
        <v>20</v>
      </c>
      <c r="E1" s="22">
        <v>1.0</v>
      </c>
    </row>
    <row r="2">
      <c r="A2" s="21">
        <v>2.0</v>
      </c>
      <c r="B2" s="21" t="s">
        <v>21</v>
      </c>
      <c r="C2" s="21" t="s">
        <v>19</v>
      </c>
      <c r="D2" s="21"/>
    </row>
    <row r="3">
      <c r="A3" s="21">
        <v>3.0</v>
      </c>
      <c r="B3" s="21" t="s">
        <v>22</v>
      </c>
      <c r="C3" s="21" t="s">
        <v>19</v>
      </c>
      <c r="D3" s="21" t="s">
        <v>20</v>
      </c>
    </row>
    <row r="4">
      <c r="A4" s="21">
        <v>4.0</v>
      </c>
      <c r="B4" s="21" t="s">
        <v>23</v>
      </c>
      <c r="C4" s="21" t="s">
        <v>19</v>
      </c>
      <c r="D4" s="21" t="s">
        <v>20</v>
      </c>
      <c r="E4" s="22">
        <v>2.0</v>
      </c>
    </row>
    <row r="5">
      <c r="A5" s="21">
        <v>5.0</v>
      </c>
      <c r="B5" s="21" t="s">
        <v>24</v>
      </c>
      <c r="C5" s="21" t="s">
        <v>19</v>
      </c>
      <c r="D5" s="21"/>
    </row>
    <row r="6">
      <c r="A6" s="21">
        <v>6.0</v>
      </c>
      <c r="B6" s="21" t="s">
        <v>25</v>
      </c>
      <c r="C6" s="21" t="s">
        <v>19</v>
      </c>
      <c r="D6" s="21" t="s">
        <v>20</v>
      </c>
    </row>
    <row r="7">
      <c r="A7" s="21">
        <v>7.0</v>
      </c>
      <c r="B7" s="21" t="s">
        <v>26</v>
      </c>
      <c r="C7" s="21" t="s">
        <v>19</v>
      </c>
      <c r="D7" s="21" t="s">
        <v>20</v>
      </c>
    </row>
    <row r="8">
      <c r="A8" s="21">
        <v>8.0</v>
      </c>
      <c r="B8" s="21" t="s">
        <v>27</v>
      </c>
      <c r="C8" s="21" t="s">
        <v>19</v>
      </c>
      <c r="D8" s="21"/>
    </row>
    <row r="9">
      <c r="A9" s="21">
        <v>9.0</v>
      </c>
      <c r="B9" s="21" t="s">
        <v>28</v>
      </c>
      <c r="C9" s="21" t="s">
        <v>19</v>
      </c>
      <c r="D9" s="21" t="s">
        <v>20</v>
      </c>
    </row>
    <row r="10">
      <c r="A10" s="21">
        <v>10.0</v>
      </c>
      <c r="B10" s="21" t="s">
        <v>29</v>
      </c>
      <c r="C10" s="21" t="s">
        <v>19</v>
      </c>
      <c r="D10" s="21" t="s">
        <v>20</v>
      </c>
    </row>
    <row r="11">
      <c r="A11" s="21">
        <v>11.0</v>
      </c>
      <c r="B11" s="21" t="s">
        <v>30</v>
      </c>
      <c r="C11" s="21" t="s">
        <v>19</v>
      </c>
      <c r="D11" s="21"/>
    </row>
    <row r="12">
      <c r="A12" s="21">
        <v>12.0</v>
      </c>
      <c r="B12" s="21" t="s">
        <v>31</v>
      </c>
      <c r="C12" s="21" t="s">
        <v>19</v>
      </c>
      <c r="D12" s="21"/>
    </row>
    <row r="13">
      <c r="A13" s="21">
        <v>13.0</v>
      </c>
      <c r="B13" s="21" t="s">
        <v>32</v>
      </c>
      <c r="C13" s="21" t="s">
        <v>19</v>
      </c>
      <c r="D13" s="21"/>
    </row>
    <row r="14">
      <c r="A14" s="21">
        <v>14.0</v>
      </c>
      <c r="B14" s="21" t="s">
        <v>33</v>
      </c>
      <c r="C14" s="21" t="s">
        <v>19</v>
      </c>
      <c r="D14" s="21"/>
    </row>
    <row r="15">
      <c r="A15" s="21">
        <v>15.0</v>
      </c>
      <c r="B15" s="21" t="s">
        <v>34</v>
      </c>
      <c r="C15" s="21" t="s">
        <v>19</v>
      </c>
      <c r="D15" s="21" t="s">
        <v>20</v>
      </c>
    </row>
    <row r="16">
      <c r="A16" s="21">
        <v>16.0</v>
      </c>
      <c r="B16" s="21" t="s">
        <v>35</v>
      </c>
      <c r="C16" s="21" t="s">
        <v>19</v>
      </c>
      <c r="D16" s="21"/>
    </row>
    <row r="17">
      <c r="A17" s="21">
        <v>17.0</v>
      </c>
      <c r="B17" s="21" t="s">
        <v>36</v>
      </c>
      <c r="C17" s="21" t="s">
        <v>19</v>
      </c>
      <c r="D17" s="21" t="s">
        <v>20</v>
      </c>
    </row>
    <row r="18">
      <c r="A18" s="21">
        <v>18.0</v>
      </c>
      <c r="B18" s="21" t="s">
        <v>37</v>
      </c>
      <c r="C18" s="21" t="s">
        <v>19</v>
      </c>
      <c r="D18" s="21" t="s">
        <v>20</v>
      </c>
    </row>
    <row r="19">
      <c r="A19" s="21">
        <v>19.0</v>
      </c>
      <c r="B19" s="21" t="s">
        <v>18</v>
      </c>
      <c r="C19" s="21" t="s">
        <v>38</v>
      </c>
      <c r="D19" s="21"/>
    </row>
    <row r="20">
      <c r="A20" s="21">
        <v>20.0</v>
      </c>
      <c r="B20" s="21" t="s">
        <v>39</v>
      </c>
      <c r="C20" s="21" t="s">
        <v>38</v>
      </c>
      <c r="D20" s="21"/>
    </row>
    <row r="21">
      <c r="A21" s="21">
        <v>21.0</v>
      </c>
      <c r="B21" s="21" t="s">
        <v>40</v>
      </c>
      <c r="C21" s="21" t="s">
        <v>38</v>
      </c>
      <c r="D21" s="21" t="s">
        <v>20</v>
      </c>
    </row>
    <row r="22">
      <c r="A22" s="21">
        <v>22.0</v>
      </c>
      <c r="B22" s="21" t="s">
        <v>41</v>
      </c>
      <c r="C22" s="21" t="s">
        <v>38</v>
      </c>
      <c r="D22" s="21" t="s">
        <v>20</v>
      </c>
    </row>
    <row r="23">
      <c r="A23" s="21">
        <v>23.0</v>
      </c>
      <c r="B23" s="21" t="s">
        <v>42</v>
      </c>
      <c r="C23" s="21" t="s">
        <v>38</v>
      </c>
      <c r="D23" s="21" t="s">
        <v>20</v>
      </c>
    </row>
    <row r="24">
      <c r="A24" s="21">
        <v>24.0</v>
      </c>
      <c r="B24" s="21" t="s">
        <v>43</v>
      </c>
      <c r="C24" s="21" t="s">
        <v>38</v>
      </c>
      <c r="D24" s="21"/>
    </row>
    <row r="25">
      <c r="A25" s="21">
        <v>25.0</v>
      </c>
      <c r="B25" s="21" t="s">
        <v>44</v>
      </c>
      <c r="C25" s="21" t="s">
        <v>38</v>
      </c>
      <c r="D25" s="21"/>
    </row>
    <row r="26">
      <c r="A26" s="21">
        <v>26.0</v>
      </c>
      <c r="B26" s="21" t="s">
        <v>45</v>
      </c>
      <c r="C26" s="21" t="s">
        <v>38</v>
      </c>
      <c r="D26" s="21"/>
    </row>
    <row r="27">
      <c r="A27" s="21">
        <v>27.0</v>
      </c>
      <c r="B27" s="21" t="s">
        <v>46</v>
      </c>
      <c r="C27" s="21" t="s">
        <v>38</v>
      </c>
      <c r="D27" s="21" t="s">
        <v>20</v>
      </c>
      <c r="E27" s="22">
        <v>1.0</v>
      </c>
    </row>
    <row r="28">
      <c r="A28" s="21">
        <v>28.0</v>
      </c>
      <c r="B28" s="21" t="s">
        <v>47</v>
      </c>
      <c r="C28" s="21" t="s">
        <v>38</v>
      </c>
      <c r="D28" s="21"/>
    </row>
    <row r="29">
      <c r="A29" s="21">
        <v>29.0</v>
      </c>
      <c r="B29" s="21" t="s">
        <v>48</v>
      </c>
      <c r="C29" s="21" t="s">
        <v>38</v>
      </c>
      <c r="D29" s="21"/>
    </row>
    <row r="30">
      <c r="A30" s="21">
        <v>30.0</v>
      </c>
      <c r="B30" s="21" t="s">
        <v>49</v>
      </c>
      <c r="C30" s="21" t="s">
        <v>38</v>
      </c>
      <c r="D30" s="21"/>
    </row>
    <row r="31">
      <c r="A31" s="21">
        <v>31.0</v>
      </c>
      <c r="B31" s="21" t="s">
        <v>50</v>
      </c>
      <c r="C31" s="21" t="s">
        <v>38</v>
      </c>
      <c r="D31" s="21" t="s">
        <v>20</v>
      </c>
    </row>
    <row r="32">
      <c r="A32" s="21">
        <v>32.0</v>
      </c>
      <c r="B32" s="21" t="s">
        <v>51</v>
      </c>
      <c r="C32" s="21" t="s">
        <v>38</v>
      </c>
      <c r="D32" s="21"/>
    </row>
    <row r="33">
      <c r="A33" s="21">
        <v>33.0</v>
      </c>
      <c r="B33" s="21" t="s">
        <v>52</v>
      </c>
      <c r="C33" s="21" t="s">
        <v>38</v>
      </c>
      <c r="D33" s="21" t="s">
        <v>20</v>
      </c>
    </row>
    <row r="34">
      <c r="A34" s="21">
        <v>34.0</v>
      </c>
      <c r="B34" s="21" t="s">
        <v>53</v>
      </c>
      <c r="C34" s="21" t="s">
        <v>38</v>
      </c>
      <c r="D34" s="21" t="s">
        <v>20</v>
      </c>
      <c r="E34" s="22">
        <v>1.0</v>
      </c>
    </row>
    <row r="35">
      <c r="A35" s="21">
        <v>35.0</v>
      </c>
      <c r="B35" s="21" t="s">
        <v>54</v>
      </c>
      <c r="C35" s="21" t="s">
        <v>38</v>
      </c>
      <c r="D35" s="21"/>
    </row>
    <row r="36">
      <c r="A36" s="21">
        <v>36.0</v>
      </c>
      <c r="B36" s="21" t="s">
        <v>55</v>
      </c>
      <c r="C36" s="21" t="s">
        <v>38</v>
      </c>
      <c r="D36" s="21"/>
    </row>
    <row r="37">
      <c r="A37" s="21">
        <v>37.0</v>
      </c>
      <c r="B37" s="21" t="s">
        <v>18</v>
      </c>
      <c r="C37" s="21" t="s">
        <v>56</v>
      </c>
      <c r="D37" s="21"/>
    </row>
    <row r="38">
      <c r="A38" s="21">
        <v>38.0</v>
      </c>
      <c r="B38" s="21" t="s">
        <v>57</v>
      </c>
      <c r="C38" s="21" t="s">
        <v>56</v>
      </c>
      <c r="D38" s="21"/>
    </row>
    <row r="39">
      <c r="A39" s="21">
        <v>39.0</v>
      </c>
      <c r="B39" s="21" t="s">
        <v>58</v>
      </c>
      <c r="C39" s="21" t="s">
        <v>56</v>
      </c>
      <c r="D39" s="21" t="s">
        <v>20</v>
      </c>
    </row>
    <row r="40">
      <c r="A40" s="21">
        <v>40.0</v>
      </c>
      <c r="B40" s="21" t="s">
        <v>59</v>
      </c>
      <c r="C40" s="21" t="s">
        <v>56</v>
      </c>
      <c r="D40" s="21" t="s">
        <v>20</v>
      </c>
    </row>
    <row r="41">
      <c r="A41" s="21">
        <v>41.0</v>
      </c>
      <c r="B41" s="21" t="s">
        <v>60</v>
      </c>
      <c r="C41" s="21" t="s">
        <v>56</v>
      </c>
      <c r="D41" s="21" t="s">
        <v>20</v>
      </c>
    </row>
    <row r="42">
      <c r="A42" s="21">
        <v>42.0</v>
      </c>
      <c r="B42" s="21" t="s">
        <v>61</v>
      </c>
      <c r="C42" s="21" t="s">
        <v>56</v>
      </c>
      <c r="D42" s="21" t="s">
        <v>20</v>
      </c>
    </row>
    <row r="43">
      <c r="A43" s="21">
        <v>43.0</v>
      </c>
      <c r="B43" s="21" t="s">
        <v>62</v>
      </c>
      <c r="C43" s="21" t="s">
        <v>56</v>
      </c>
      <c r="D43" s="21" t="s">
        <v>20</v>
      </c>
    </row>
    <row r="44">
      <c r="A44" s="21">
        <v>44.0</v>
      </c>
      <c r="B44" s="21" t="s">
        <v>63</v>
      </c>
      <c r="C44" s="21" t="s">
        <v>56</v>
      </c>
      <c r="D44" s="21" t="s">
        <v>20</v>
      </c>
    </row>
    <row r="45">
      <c r="A45" s="21">
        <v>45.0</v>
      </c>
      <c r="B45" s="21" t="s">
        <v>64</v>
      </c>
      <c r="C45" s="21" t="s">
        <v>56</v>
      </c>
      <c r="D45" s="21"/>
    </row>
    <row r="46">
      <c r="A46" s="21">
        <v>46.0</v>
      </c>
      <c r="B46" s="21" t="s">
        <v>65</v>
      </c>
      <c r="C46" s="21" t="s">
        <v>56</v>
      </c>
      <c r="D46" s="21" t="s">
        <v>20</v>
      </c>
      <c r="E46" s="22">
        <v>1.0</v>
      </c>
    </row>
    <row r="47">
      <c r="A47" s="21">
        <v>47.0</v>
      </c>
      <c r="B47" s="21" t="s">
        <v>66</v>
      </c>
      <c r="C47" s="21" t="s">
        <v>56</v>
      </c>
      <c r="D47" s="21" t="s">
        <v>20</v>
      </c>
    </row>
    <row r="48">
      <c r="A48" s="21">
        <v>48.0</v>
      </c>
      <c r="B48" s="21" t="s">
        <v>67</v>
      </c>
      <c r="C48" s="21" t="s">
        <v>56</v>
      </c>
      <c r="D48" s="21"/>
    </row>
    <row r="49">
      <c r="A49" s="21">
        <v>49.0</v>
      </c>
      <c r="B49" s="21" t="s">
        <v>68</v>
      </c>
      <c r="C49" s="21" t="s">
        <v>56</v>
      </c>
      <c r="D49" s="21" t="s">
        <v>20</v>
      </c>
      <c r="E49" s="22">
        <v>1.0</v>
      </c>
    </row>
    <row r="50">
      <c r="A50" s="21">
        <v>50.0</v>
      </c>
      <c r="B50" s="21" t="s">
        <v>69</v>
      </c>
      <c r="C50" s="21" t="s">
        <v>56</v>
      </c>
      <c r="D50" s="21"/>
    </row>
    <row r="51">
      <c r="A51" s="21">
        <v>51.0</v>
      </c>
      <c r="B51" s="21" t="s">
        <v>70</v>
      </c>
      <c r="C51" s="21" t="s">
        <v>56</v>
      </c>
      <c r="D51" s="21"/>
    </row>
    <row r="52">
      <c r="A52" s="21">
        <v>52.0</v>
      </c>
      <c r="B52" s="21" t="s">
        <v>71</v>
      </c>
      <c r="C52" s="21" t="s">
        <v>56</v>
      </c>
      <c r="D52" s="21"/>
    </row>
    <row r="53">
      <c r="A53" s="21">
        <v>53.0</v>
      </c>
      <c r="B53" s="21" t="s">
        <v>72</v>
      </c>
      <c r="C53" s="21" t="s">
        <v>56</v>
      </c>
      <c r="D53" s="21"/>
    </row>
    <row r="54">
      <c r="A54" s="21">
        <v>54.0</v>
      </c>
      <c r="B54" s="21" t="s">
        <v>73</v>
      </c>
      <c r="C54" s="21" t="s">
        <v>56</v>
      </c>
      <c r="D54" s="21"/>
    </row>
    <row r="55">
      <c r="A55" s="21">
        <v>55.0</v>
      </c>
      <c r="B55" s="21" t="s">
        <v>18</v>
      </c>
      <c r="C55" s="21" t="s">
        <v>74</v>
      </c>
      <c r="D55" s="21" t="s">
        <v>20</v>
      </c>
    </row>
    <row r="56">
      <c r="A56" s="21">
        <v>56.0</v>
      </c>
      <c r="B56" s="21" t="s">
        <v>75</v>
      </c>
      <c r="C56" s="21" t="s">
        <v>74</v>
      </c>
      <c r="D56" s="21" t="s">
        <v>20</v>
      </c>
    </row>
    <row r="57">
      <c r="A57" s="21">
        <v>57.0</v>
      </c>
      <c r="B57" s="21" t="s">
        <v>76</v>
      </c>
      <c r="C57" s="21" t="s">
        <v>74</v>
      </c>
      <c r="D57" s="21"/>
    </row>
    <row r="58">
      <c r="A58" s="21">
        <v>58.0</v>
      </c>
      <c r="B58" s="21" t="s">
        <v>77</v>
      </c>
      <c r="C58" s="21" t="s">
        <v>74</v>
      </c>
      <c r="D58" s="21"/>
    </row>
    <row r="59">
      <c r="A59" s="21">
        <v>59.0</v>
      </c>
      <c r="B59" s="21" t="s">
        <v>78</v>
      </c>
      <c r="C59" s="21" t="s">
        <v>74</v>
      </c>
      <c r="D59" s="21" t="s">
        <v>20</v>
      </c>
    </row>
    <row r="60">
      <c r="A60" s="21">
        <v>60.0</v>
      </c>
      <c r="B60" s="21" t="s">
        <v>79</v>
      </c>
      <c r="C60" s="21" t="s">
        <v>74</v>
      </c>
      <c r="D60" s="21"/>
    </row>
    <row r="61">
      <c r="A61" s="21">
        <v>61.0</v>
      </c>
      <c r="B61" s="21" t="s">
        <v>80</v>
      </c>
      <c r="C61" s="21" t="s">
        <v>74</v>
      </c>
      <c r="D61" s="21"/>
    </row>
    <row r="62">
      <c r="A62" s="21">
        <v>62.0</v>
      </c>
      <c r="B62" s="21" t="s">
        <v>81</v>
      </c>
      <c r="C62" s="21" t="s">
        <v>74</v>
      </c>
      <c r="D62" s="21" t="s">
        <v>20</v>
      </c>
    </row>
    <row r="63">
      <c r="A63" s="21">
        <v>63.0</v>
      </c>
      <c r="B63" s="21" t="s">
        <v>82</v>
      </c>
      <c r="C63" s="21" t="s">
        <v>74</v>
      </c>
      <c r="D63" s="21" t="s">
        <v>20</v>
      </c>
    </row>
    <row r="64">
      <c r="A64" s="21">
        <v>64.0</v>
      </c>
      <c r="B64" s="21" t="s">
        <v>83</v>
      </c>
      <c r="C64" s="21" t="s">
        <v>74</v>
      </c>
      <c r="D64" s="21" t="s">
        <v>20</v>
      </c>
      <c r="E64" s="22">
        <v>1.0</v>
      </c>
    </row>
    <row r="65">
      <c r="A65" s="21">
        <v>65.0</v>
      </c>
      <c r="B65" s="21" t="s">
        <v>84</v>
      </c>
      <c r="C65" s="21" t="s">
        <v>74</v>
      </c>
      <c r="D65" s="21" t="s">
        <v>20</v>
      </c>
    </row>
    <row r="66">
      <c r="A66" s="21">
        <v>66.0</v>
      </c>
      <c r="B66" s="21" t="s">
        <v>85</v>
      </c>
      <c r="C66" s="21" t="s">
        <v>74</v>
      </c>
      <c r="D66" s="21"/>
    </row>
    <row r="67">
      <c r="A67" s="21">
        <v>67.0</v>
      </c>
      <c r="B67" s="21" t="s">
        <v>86</v>
      </c>
      <c r="C67" s="21" t="s">
        <v>74</v>
      </c>
      <c r="D67" s="21" t="s">
        <v>20</v>
      </c>
      <c r="E67" s="22">
        <v>1.0</v>
      </c>
    </row>
    <row r="68">
      <c r="A68" s="21">
        <v>68.0</v>
      </c>
      <c r="B68" s="21" t="s">
        <v>87</v>
      </c>
      <c r="C68" s="21" t="s">
        <v>74</v>
      </c>
      <c r="D68" s="21"/>
    </row>
    <row r="69">
      <c r="A69" s="21">
        <v>69.0</v>
      </c>
      <c r="B69" s="21" t="s">
        <v>88</v>
      </c>
      <c r="C69" s="21" t="s">
        <v>74</v>
      </c>
      <c r="D69" s="21"/>
    </row>
    <row r="70">
      <c r="A70" s="21">
        <v>70.0</v>
      </c>
      <c r="B70" s="21" t="s">
        <v>89</v>
      </c>
      <c r="C70" s="21" t="s">
        <v>74</v>
      </c>
      <c r="D70" s="21"/>
    </row>
    <row r="71">
      <c r="A71" s="21">
        <v>71.0</v>
      </c>
      <c r="B71" s="21" t="s">
        <v>90</v>
      </c>
      <c r="C71" s="21" t="s">
        <v>74</v>
      </c>
      <c r="D71" s="21" t="s">
        <v>20</v>
      </c>
    </row>
    <row r="72">
      <c r="A72" s="21">
        <v>72.0</v>
      </c>
      <c r="B72" s="21" t="s">
        <v>91</v>
      </c>
      <c r="C72" s="21" t="s">
        <v>74</v>
      </c>
      <c r="D72" s="21"/>
    </row>
    <row r="73">
      <c r="A73" s="21">
        <v>73.0</v>
      </c>
      <c r="B73" s="21" t="s">
        <v>18</v>
      </c>
      <c r="C73" s="21" t="s">
        <v>92</v>
      </c>
      <c r="D73" s="21" t="s">
        <v>20</v>
      </c>
    </row>
    <row r="74">
      <c r="A74" s="21">
        <v>74.0</v>
      </c>
      <c r="B74" s="21" t="s">
        <v>93</v>
      </c>
      <c r="C74" s="21" t="s">
        <v>92</v>
      </c>
      <c r="D74" s="21" t="s">
        <v>20</v>
      </c>
    </row>
    <row r="75">
      <c r="A75" s="21">
        <v>75.0</v>
      </c>
      <c r="B75" s="21" t="s">
        <v>94</v>
      </c>
      <c r="C75" s="21" t="s">
        <v>92</v>
      </c>
      <c r="D75" s="21"/>
    </row>
    <row r="76">
      <c r="A76" s="21">
        <v>76.0</v>
      </c>
      <c r="B76" s="21" t="s">
        <v>95</v>
      </c>
      <c r="C76" s="21" t="s">
        <v>92</v>
      </c>
      <c r="D76" s="21" t="s">
        <v>20</v>
      </c>
      <c r="E76" s="22">
        <v>1.0</v>
      </c>
    </row>
    <row r="77">
      <c r="A77" s="21">
        <v>77.0</v>
      </c>
      <c r="B77" s="21" t="s">
        <v>96</v>
      </c>
      <c r="C77" s="21" t="s">
        <v>92</v>
      </c>
      <c r="D77" s="21"/>
    </row>
    <row r="78">
      <c r="A78" s="21">
        <v>78.0</v>
      </c>
      <c r="B78" s="21" t="s">
        <v>97</v>
      </c>
      <c r="C78" s="21" t="s">
        <v>92</v>
      </c>
      <c r="D78" s="21"/>
    </row>
    <row r="79">
      <c r="A79" s="21">
        <v>79.0</v>
      </c>
      <c r="B79" s="21" t="s">
        <v>98</v>
      </c>
      <c r="C79" s="21" t="s">
        <v>92</v>
      </c>
      <c r="D79" s="21" t="s">
        <v>20</v>
      </c>
    </row>
    <row r="80">
      <c r="A80" s="21">
        <v>80.0</v>
      </c>
      <c r="B80" s="21" t="s">
        <v>99</v>
      </c>
      <c r="C80" s="21" t="s">
        <v>92</v>
      </c>
      <c r="D80" s="21"/>
    </row>
    <row r="81">
      <c r="A81" s="21">
        <v>81.0</v>
      </c>
      <c r="B81" s="21" t="s">
        <v>100</v>
      </c>
      <c r="C81" s="21" t="s">
        <v>92</v>
      </c>
      <c r="D81" s="21" t="s">
        <v>20</v>
      </c>
      <c r="E81" s="22">
        <v>1.0</v>
      </c>
    </row>
    <row r="82">
      <c r="A82" s="21">
        <v>82.0</v>
      </c>
      <c r="B82" s="21" t="s">
        <v>101</v>
      </c>
      <c r="C82" s="21" t="s">
        <v>92</v>
      </c>
      <c r="D82" s="21"/>
    </row>
    <row r="83">
      <c r="A83" s="21">
        <v>83.0</v>
      </c>
      <c r="B83" s="21" t="s">
        <v>102</v>
      </c>
      <c r="C83" s="21" t="s">
        <v>92</v>
      </c>
      <c r="D83" s="21"/>
    </row>
    <row r="84">
      <c r="A84" s="21">
        <v>84.0</v>
      </c>
      <c r="B84" s="21" t="s">
        <v>103</v>
      </c>
      <c r="C84" s="21" t="s">
        <v>92</v>
      </c>
      <c r="D84" s="21" t="s">
        <v>20</v>
      </c>
    </row>
    <row r="85">
      <c r="A85" s="21">
        <v>85.0</v>
      </c>
      <c r="B85" s="21" t="s">
        <v>104</v>
      </c>
      <c r="C85" s="21" t="s">
        <v>92</v>
      </c>
      <c r="D85" s="21"/>
    </row>
    <row r="86">
      <c r="A86" s="21">
        <v>86.0</v>
      </c>
      <c r="B86" s="21" t="s">
        <v>105</v>
      </c>
      <c r="C86" s="21" t="s">
        <v>92</v>
      </c>
      <c r="D86" s="21" t="s">
        <v>20</v>
      </c>
    </row>
    <row r="87">
      <c r="A87" s="21">
        <v>87.0</v>
      </c>
      <c r="B87" s="21" t="s">
        <v>106</v>
      </c>
      <c r="C87" s="21" t="s">
        <v>92</v>
      </c>
      <c r="D87" s="21" t="s">
        <v>20</v>
      </c>
    </row>
    <row r="88">
      <c r="A88" s="21">
        <v>88.0</v>
      </c>
      <c r="B88" s="21" t="s">
        <v>107</v>
      </c>
      <c r="C88" s="21" t="s">
        <v>92</v>
      </c>
      <c r="D88" s="21" t="s">
        <v>20</v>
      </c>
    </row>
    <row r="89">
      <c r="A89" s="21">
        <v>89.0</v>
      </c>
      <c r="B89" s="21" t="s">
        <v>108</v>
      </c>
      <c r="C89" s="21" t="s">
        <v>92</v>
      </c>
      <c r="D89" s="21"/>
    </row>
    <row r="90">
      <c r="A90" s="21">
        <v>90.0</v>
      </c>
      <c r="B90" s="21" t="s">
        <v>109</v>
      </c>
      <c r="C90" s="21" t="s">
        <v>92</v>
      </c>
      <c r="D90" s="21"/>
    </row>
    <row r="91">
      <c r="A91" s="21">
        <v>91.0</v>
      </c>
      <c r="B91" s="21" t="s">
        <v>18</v>
      </c>
      <c r="C91" s="21" t="s">
        <v>110</v>
      </c>
      <c r="D91" s="21" t="s">
        <v>20</v>
      </c>
    </row>
    <row r="92">
      <c r="A92" s="21">
        <v>92.0</v>
      </c>
      <c r="B92" s="21" t="s">
        <v>111</v>
      </c>
      <c r="C92" s="21" t="s">
        <v>110</v>
      </c>
      <c r="D92" s="21"/>
    </row>
    <row r="93">
      <c r="A93" s="21">
        <v>93.0</v>
      </c>
      <c r="B93" s="21" t="s">
        <v>112</v>
      </c>
      <c r="C93" s="21" t="s">
        <v>110</v>
      </c>
      <c r="D93" s="21" t="s">
        <v>20</v>
      </c>
    </row>
    <row r="94">
      <c r="A94" s="21">
        <v>94.0</v>
      </c>
      <c r="B94" s="21" t="s">
        <v>113</v>
      </c>
      <c r="C94" s="21" t="s">
        <v>110</v>
      </c>
      <c r="D94" s="21"/>
    </row>
    <row r="95">
      <c r="A95" s="21">
        <v>95.0</v>
      </c>
      <c r="B95" s="21" t="s">
        <v>114</v>
      </c>
      <c r="C95" s="21" t="s">
        <v>110</v>
      </c>
      <c r="D95" s="21"/>
    </row>
    <row r="96">
      <c r="A96" s="21">
        <v>96.0</v>
      </c>
      <c r="B96" s="21" t="s">
        <v>115</v>
      </c>
      <c r="C96" s="21" t="s">
        <v>110</v>
      </c>
      <c r="D96" s="21"/>
    </row>
    <row r="97">
      <c r="A97" s="21">
        <v>97.0</v>
      </c>
      <c r="B97" s="21" t="s">
        <v>116</v>
      </c>
      <c r="C97" s="21" t="s">
        <v>110</v>
      </c>
      <c r="D97" s="21"/>
    </row>
    <row r="98">
      <c r="A98" s="21">
        <v>98.0</v>
      </c>
      <c r="B98" s="21" t="s">
        <v>117</v>
      </c>
      <c r="C98" s="21" t="s">
        <v>110</v>
      </c>
      <c r="D98" s="21"/>
    </row>
    <row r="99">
      <c r="A99" s="21">
        <v>99.0</v>
      </c>
      <c r="B99" s="21" t="s">
        <v>118</v>
      </c>
      <c r="C99" s="21" t="s">
        <v>110</v>
      </c>
      <c r="D99" s="21" t="s">
        <v>20</v>
      </c>
    </row>
    <row r="100">
      <c r="A100" s="21">
        <v>100.0</v>
      </c>
      <c r="B100" s="21" t="s">
        <v>119</v>
      </c>
      <c r="C100" s="21" t="s">
        <v>110</v>
      </c>
      <c r="D100" s="21" t="s">
        <v>20</v>
      </c>
    </row>
    <row r="101">
      <c r="A101" s="21">
        <v>101.0</v>
      </c>
      <c r="B101" s="21" t="s">
        <v>120</v>
      </c>
      <c r="C101" s="21" t="s">
        <v>110</v>
      </c>
      <c r="D101" s="21"/>
    </row>
    <row r="102">
      <c r="A102" s="21">
        <v>102.0</v>
      </c>
      <c r="B102" s="21" t="s">
        <v>121</v>
      </c>
      <c r="C102" s="21" t="s">
        <v>110</v>
      </c>
      <c r="D102" s="21" t="s">
        <v>20</v>
      </c>
    </row>
    <row r="103">
      <c r="A103" s="21">
        <v>103.0</v>
      </c>
      <c r="B103" s="21" t="s">
        <v>122</v>
      </c>
      <c r="C103" s="21" t="s">
        <v>110</v>
      </c>
      <c r="D103" s="21" t="s">
        <v>20</v>
      </c>
    </row>
    <row r="104">
      <c r="A104" s="21">
        <v>104.0</v>
      </c>
      <c r="B104" s="21" t="s">
        <v>123</v>
      </c>
      <c r="C104" s="21" t="s">
        <v>110</v>
      </c>
      <c r="D104" s="21" t="s">
        <v>20</v>
      </c>
    </row>
    <row r="105">
      <c r="A105" s="21">
        <v>105.0</v>
      </c>
      <c r="B105" s="21" t="s">
        <v>124</v>
      </c>
      <c r="C105" s="21" t="s">
        <v>110</v>
      </c>
      <c r="D105" s="21"/>
    </row>
    <row r="106">
      <c r="A106" s="21">
        <v>106.0</v>
      </c>
      <c r="B106" s="21" t="s">
        <v>125</v>
      </c>
      <c r="C106" s="21" t="s">
        <v>110</v>
      </c>
      <c r="D106" s="21" t="s">
        <v>20</v>
      </c>
    </row>
    <row r="107">
      <c r="A107" s="21">
        <v>107.0</v>
      </c>
      <c r="B107" s="21" t="s">
        <v>126</v>
      </c>
      <c r="C107" s="21" t="s">
        <v>110</v>
      </c>
      <c r="D107" s="21"/>
      <c r="E107" s="22">
        <v>1.0</v>
      </c>
    </row>
    <row r="108">
      <c r="A108" s="21">
        <v>108.0</v>
      </c>
      <c r="B108" s="21" t="s">
        <v>127</v>
      </c>
      <c r="C108" s="21" t="s">
        <v>110</v>
      </c>
      <c r="D108" s="21" t="s">
        <v>20</v>
      </c>
      <c r="E108" s="22">
        <v>2.0</v>
      </c>
    </row>
    <row r="109">
      <c r="A109" s="21">
        <v>109.0</v>
      </c>
      <c r="B109" s="21" t="s">
        <v>18</v>
      </c>
      <c r="C109" s="21" t="s">
        <v>128</v>
      </c>
      <c r="D109" s="21" t="s">
        <v>20</v>
      </c>
    </row>
    <row r="110">
      <c r="A110" s="21">
        <v>110.0</v>
      </c>
      <c r="B110" s="21" t="s">
        <v>129</v>
      </c>
      <c r="C110" s="21" t="s">
        <v>128</v>
      </c>
      <c r="D110" s="21" t="s">
        <v>20</v>
      </c>
      <c r="E110" s="22">
        <v>2.0</v>
      </c>
    </row>
    <row r="111">
      <c r="A111" s="21">
        <v>111.0</v>
      </c>
      <c r="B111" s="21" t="s">
        <v>130</v>
      </c>
      <c r="C111" s="21" t="s">
        <v>128</v>
      </c>
      <c r="D111" s="21" t="s">
        <v>20</v>
      </c>
    </row>
    <row r="112">
      <c r="A112" s="21">
        <v>112.0</v>
      </c>
      <c r="B112" s="21" t="s">
        <v>131</v>
      </c>
      <c r="C112" s="21" t="s">
        <v>128</v>
      </c>
      <c r="D112" s="21"/>
    </row>
    <row r="113">
      <c r="A113" s="21">
        <v>113.0</v>
      </c>
      <c r="B113" s="21" t="s">
        <v>132</v>
      </c>
      <c r="C113" s="21" t="s">
        <v>128</v>
      </c>
      <c r="D113" s="21"/>
    </row>
    <row r="114">
      <c r="A114" s="21">
        <v>114.0</v>
      </c>
      <c r="B114" s="21" t="s">
        <v>133</v>
      </c>
      <c r="C114" s="21" t="s">
        <v>128</v>
      </c>
      <c r="D114" s="21"/>
    </row>
    <row r="115">
      <c r="A115" s="21">
        <v>115.0</v>
      </c>
      <c r="B115" s="21" t="s">
        <v>134</v>
      </c>
      <c r="C115" s="21" t="s">
        <v>128</v>
      </c>
      <c r="D115" s="21"/>
    </row>
    <row r="116">
      <c r="A116" s="21">
        <v>116.0</v>
      </c>
      <c r="B116" s="21" t="s">
        <v>135</v>
      </c>
      <c r="C116" s="21" t="s">
        <v>128</v>
      </c>
      <c r="D116" s="21"/>
    </row>
    <row r="117">
      <c r="A117" s="21">
        <v>117.0</v>
      </c>
      <c r="B117" s="21" t="s">
        <v>136</v>
      </c>
      <c r="C117" s="21" t="s">
        <v>128</v>
      </c>
      <c r="D117" s="21" t="s">
        <v>20</v>
      </c>
    </row>
    <row r="118">
      <c r="A118" s="21">
        <v>118.0</v>
      </c>
      <c r="B118" s="21" t="s">
        <v>137</v>
      </c>
      <c r="C118" s="21" t="s">
        <v>128</v>
      </c>
      <c r="D118" s="21"/>
    </row>
    <row r="119">
      <c r="A119" s="21">
        <v>119.0</v>
      </c>
      <c r="B119" s="21" t="s">
        <v>138</v>
      </c>
      <c r="C119" s="21" t="s">
        <v>128</v>
      </c>
      <c r="D119" s="21"/>
    </row>
    <row r="120">
      <c r="A120" s="21">
        <v>120.0</v>
      </c>
      <c r="B120" s="21" t="s">
        <v>139</v>
      </c>
      <c r="C120" s="21" t="s">
        <v>128</v>
      </c>
      <c r="D120" s="21"/>
    </row>
    <row r="121">
      <c r="A121" s="21">
        <v>121.0</v>
      </c>
      <c r="B121" s="21" t="s">
        <v>140</v>
      </c>
      <c r="C121" s="21" t="s">
        <v>128</v>
      </c>
      <c r="D121" s="21" t="s">
        <v>20</v>
      </c>
      <c r="E121" s="22">
        <v>1.0</v>
      </c>
    </row>
    <row r="122">
      <c r="A122" s="21">
        <v>122.0</v>
      </c>
      <c r="B122" s="21" t="s">
        <v>141</v>
      </c>
      <c r="C122" s="21" t="s">
        <v>128</v>
      </c>
      <c r="D122" s="21" t="s">
        <v>20</v>
      </c>
    </row>
    <row r="123">
      <c r="A123" s="21">
        <v>123.0</v>
      </c>
      <c r="B123" s="21" t="s">
        <v>142</v>
      </c>
      <c r="C123" s="21" t="s">
        <v>128</v>
      </c>
      <c r="D123" s="21" t="s">
        <v>20</v>
      </c>
    </row>
    <row r="124">
      <c r="A124" s="21">
        <v>124.0</v>
      </c>
      <c r="B124" s="21" t="s">
        <v>143</v>
      </c>
      <c r="C124" s="21" t="s">
        <v>128</v>
      </c>
      <c r="D124" s="21" t="s">
        <v>20</v>
      </c>
    </row>
    <row r="125">
      <c r="A125" s="21">
        <v>125.0</v>
      </c>
      <c r="B125" s="21" t="s">
        <v>144</v>
      </c>
      <c r="C125" s="21" t="s">
        <v>128</v>
      </c>
      <c r="D125" s="21"/>
    </row>
    <row r="126">
      <c r="A126" s="21">
        <v>126.0</v>
      </c>
      <c r="B126" s="21" t="s">
        <v>145</v>
      </c>
      <c r="C126" s="21" t="s">
        <v>128</v>
      </c>
      <c r="D126" s="21"/>
    </row>
    <row r="127">
      <c r="A127" s="21">
        <v>127.0</v>
      </c>
      <c r="B127" s="21" t="s">
        <v>18</v>
      </c>
      <c r="C127" s="21" t="s">
        <v>146</v>
      </c>
      <c r="D127" s="21" t="s">
        <v>20</v>
      </c>
      <c r="E127" s="22">
        <v>1.0</v>
      </c>
    </row>
    <row r="128">
      <c r="A128" s="21">
        <v>128.0</v>
      </c>
      <c r="B128" s="21" t="s">
        <v>147</v>
      </c>
      <c r="C128" s="21" t="s">
        <v>146</v>
      </c>
      <c r="D128" s="21"/>
    </row>
    <row r="129">
      <c r="A129" s="21">
        <v>129.0</v>
      </c>
      <c r="B129" s="21" t="s">
        <v>148</v>
      </c>
      <c r="C129" s="21" t="s">
        <v>146</v>
      </c>
      <c r="D129" s="21" t="s">
        <v>20</v>
      </c>
    </row>
    <row r="130">
      <c r="A130" s="21">
        <v>130.0</v>
      </c>
      <c r="B130" s="21" t="s">
        <v>149</v>
      </c>
      <c r="C130" s="21" t="s">
        <v>146</v>
      </c>
      <c r="D130" s="21" t="s">
        <v>20</v>
      </c>
      <c r="E130" s="22">
        <v>1.0</v>
      </c>
    </row>
    <row r="131">
      <c r="A131" s="21">
        <v>131.0</v>
      </c>
      <c r="B131" s="21" t="s">
        <v>150</v>
      </c>
      <c r="C131" s="21" t="s">
        <v>146</v>
      </c>
      <c r="D131" s="21" t="s">
        <v>20</v>
      </c>
    </row>
    <row r="132">
      <c r="A132" s="21">
        <v>132.0</v>
      </c>
      <c r="B132" s="21" t="s">
        <v>151</v>
      </c>
      <c r="C132" s="21" t="s">
        <v>146</v>
      </c>
      <c r="D132" s="21"/>
    </row>
    <row r="133">
      <c r="A133" s="21">
        <v>133.0</v>
      </c>
      <c r="B133" s="21" t="s">
        <v>152</v>
      </c>
      <c r="C133" s="21" t="s">
        <v>146</v>
      </c>
      <c r="D133" s="21"/>
    </row>
    <row r="134">
      <c r="A134" s="21">
        <v>134.0</v>
      </c>
      <c r="B134" s="21" t="s">
        <v>153</v>
      </c>
      <c r="C134" s="21" t="s">
        <v>146</v>
      </c>
      <c r="D134" s="21"/>
    </row>
    <row r="135">
      <c r="A135" s="21">
        <v>135.0</v>
      </c>
      <c r="B135" s="21" t="s">
        <v>154</v>
      </c>
      <c r="C135" s="21" t="s">
        <v>146</v>
      </c>
      <c r="D135" s="21" t="s">
        <v>20</v>
      </c>
    </row>
    <row r="136">
      <c r="A136" s="21">
        <v>136.0</v>
      </c>
      <c r="B136" s="21" t="s">
        <v>155</v>
      </c>
      <c r="C136" s="21" t="s">
        <v>146</v>
      </c>
      <c r="D136" s="21" t="s">
        <v>20</v>
      </c>
    </row>
    <row r="137">
      <c r="A137" s="21">
        <v>137.0</v>
      </c>
      <c r="B137" s="21" t="s">
        <v>156</v>
      </c>
      <c r="C137" s="21" t="s">
        <v>146</v>
      </c>
      <c r="D137" s="21" t="s">
        <v>20</v>
      </c>
    </row>
    <row r="138">
      <c r="A138" s="21">
        <v>138.0</v>
      </c>
      <c r="B138" s="21" t="s">
        <v>157</v>
      </c>
      <c r="C138" s="21" t="s">
        <v>146</v>
      </c>
      <c r="D138" s="21" t="s">
        <v>20</v>
      </c>
    </row>
    <row r="139">
      <c r="A139" s="21">
        <v>139.0</v>
      </c>
      <c r="B139" s="21" t="s">
        <v>158</v>
      </c>
      <c r="C139" s="21" t="s">
        <v>146</v>
      </c>
      <c r="D139" s="21" t="s">
        <v>20</v>
      </c>
    </row>
    <row r="140">
      <c r="A140" s="21">
        <v>140.0</v>
      </c>
      <c r="B140" s="21" t="s">
        <v>159</v>
      </c>
      <c r="C140" s="21" t="s">
        <v>146</v>
      </c>
      <c r="D140" s="21" t="s">
        <v>20</v>
      </c>
    </row>
    <row r="141">
      <c r="A141" s="21">
        <v>141.0</v>
      </c>
      <c r="B141" s="21" t="s">
        <v>160</v>
      </c>
      <c r="C141" s="21" t="s">
        <v>146</v>
      </c>
      <c r="D141" s="21" t="s">
        <v>20</v>
      </c>
    </row>
    <row r="142">
      <c r="A142" s="21">
        <v>142.0</v>
      </c>
      <c r="B142" s="21" t="s">
        <v>161</v>
      </c>
      <c r="C142" s="21" t="s">
        <v>146</v>
      </c>
      <c r="D142" s="21"/>
    </row>
    <row r="143">
      <c r="A143" s="21">
        <v>143.0</v>
      </c>
      <c r="B143" s="21" t="s">
        <v>162</v>
      </c>
      <c r="C143" s="21" t="s">
        <v>146</v>
      </c>
      <c r="D143" s="21"/>
    </row>
    <row r="144">
      <c r="A144" s="21">
        <v>144.0</v>
      </c>
      <c r="B144" s="21" t="s">
        <v>163</v>
      </c>
      <c r="C144" s="21" t="s">
        <v>146</v>
      </c>
      <c r="D144" s="21"/>
    </row>
    <row r="145">
      <c r="A145" s="21">
        <v>145.0</v>
      </c>
      <c r="B145" s="21" t="s">
        <v>18</v>
      </c>
      <c r="C145" s="21" t="s">
        <v>164</v>
      </c>
      <c r="D145" s="21"/>
    </row>
    <row r="146">
      <c r="A146" s="21">
        <v>146.0</v>
      </c>
      <c r="B146" s="21" t="s">
        <v>165</v>
      </c>
      <c r="C146" s="21" t="s">
        <v>164</v>
      </c>
      <c r="D146" s="21"/>
    </row>
    <row r="147">
      <c r="A147" s="21">
        <v>147.0</v>
      </c>
      <c r="B147" s="21" t="s">
        <v>166</v>
      </c>
      <c r="C147" s="21" t="s">
        <v>164</v>
      </c>
      <c r="D147" s="21"/>
    </row>
    <row r="148">
      <c r="A148" s="21">
        <v>148.0</v>
      </c>
      <c r="B148" s="21" t="s">
        <v>167</v>
      </c>
      <c r="C148" s="21" t="s">
        <v>164</v>
      </c>
      <c r="D148" s="21"/>
    </row>
    <row r="149">
      <c r="A149" s="21">
        <v>149.0</v>
      </c>
      <c r="B149" s="21" t="s">
        <v>168</v>
      </c>
      <c r="C149" s="21" t="s">
        <v>164</v>
      </c>
      <c r="D149" s="21"/>
    </row>
    <row r="150">
      <c r="A150" s="21">
        <v>150.0</v>
      </c>
      <c r="B150" s="21" t="s">
        <v>169</v>
      </c>
      <c r="C150" s="21" t="s">
        <v>164</v>
      </c>
      <c r="D150" s="21"/>
    </row>
    <row r="151">
      <c r="A151" s="21">
        <v>151.0</v>
      </c>
      <c r="B151" s="21" t="s">
        <v>170</v>
      </c>
      <c r="C151" s="21" t="s">
        <v>164</v>
      </c>
      <c r="D151" s="21"/>
    </row>
    <row r="152">
      <c r="A152" s="21">
        <v>152.0</v>
      </c>
      <c r="B152" s="21" t="s">
        <v>171</v>
      </c>
      <c r="C152" s="21" t="s">
        <v>164</v>
      </c>
      <c r="D152" s="21" t="s">
        <v>20</v>
      </c>
    </row>
    <row r="153">
      <c r="A153" s="21">
        <v>153.0</v>
      </c>
      <c r="B153" s="21" t="s">
        <v>172</v>
      </c>
      <c r="C153" s="21" t="s">
        <v>164</v>
      </c>
      <c r="D153" s="21" t="s">
        <v>20</v>
      </c>
    </row>
    <row r="154">
      <c r="A154" s="21">
        <v>154.0</v>
      </c>
      <c r="B154" s="21" t="s">
        <v>173</v>
      </c>
      <c r="C154" s="21" t="s">
        <v>164</v>
      </c>
      <c r="D154" s="21" t="s">
        <v>20</v>
      </c>
      <c r="E154" s="22">
        <v>1.0</v>
      </c>
    </row>
    <row r="155">
      <c r="A155" s="21">
        <v>155.0</v>
      </c>
      <c r="B155" s="21" t="s">
        <v>174</v>
      </c>
      <c r="C155" s="21" t="s">
        <v>164</v>
      </c>
      <c r="D155" s="21"/>
    </row>
    <row r="156">
      <c r="A156" s="21">
        <v>156.0</v>
      </c>
      <c r="B156" s="21" t="s">
        <v>175</v>
      </c>
      <c r="C156" s="21" t="s">
        <v>164</v>
      </c>
      <c r="D156" s="21"/>
    </row>
    <row r="157">
      <c r="A157" s="21">
        <v>157.0</v>
      </c>
      <c r="B157" s="21" t="s">
        <v>176</v>
      </c>
      <c r="C157" s="21" t="s">
        <v>164</v>
      </c>
      <c r="D157" s="21"/>
    </row>
    <row r="158">
      <c r="A158" s="21">
        <v>158.0</v>
      </c>
      <c r="B158" s="21" t="s">
        <v>177</v>
      </c>
      <c r="C158" s="21" t="s">
        <v>164</v>
      </c>
      <c r="D158" s="21" t="s">
        <v>20</v>
      </c>
    </row>
    <row r="159">
      <c r="A159" s="21">
        <v>159.0</v>
      </c>
      <c r="B159" s="21" t="s">
        <v>178</v>
      </c>
      <c r="C159" s="21" t="s">
        <v>164</v>
      </c>
      <c r="D159" s="21"/>
    </row>
    <row r="160">
      <c r="A160" s="21">
        <v>160.0</v>
      </c>
      <c r="B160" s="21" t="s">
        <v>179</v>
      </c>
      <c r="C160" s="21" t="s">
        <v>164</v>
      </c>
      <c r="D160" s="21" t="s">
        <v>20</v>
      </c>
    </row>
    <row r="161">
      <c r="A161" s="21">
        <v>161.0</v>
      </c>
      <c r="B161" s="21" t="s">
        <v>180</v>
      </c>
      <c r="C161" s="21" t="s">
        <v>164</v>
      </c>
      <c r="D161" s="21"/>
    </row>
    <row r="162">
      <c r="A162" s="21">
        <v>162.0</v>
      </c>
      <c r="B162" s="21" t="s">
        <v>181</v>
      </c>
      <c r="C162" s="21" t="s">
        <v>164</v>
      </c>
      <c r="D162" s="21"/>
    </row>
    <row r="163">
      <c r="A163" s="21">
        <v>163.0</v>
      </c>
      <c r="B163" s="21" t="s">
        <v>18</v>
      </c>
      <c r="C163" s="21" t="s">
        <v>182</v>
      </c>
      <c r="D163" s="21"/>
    </row>
    <row r="164">
      <c r="A164" s="21">
        <v>164.0</v>
      </c>
      <c r="B164" s="21" t="s">
        <v>183</v>
      </c>
      <c r="C164" s="21" t="s">
        <v>182</v>
      </c>
      <c r="D164" s="21"/>
    </row>
    <row r="165">
      <c r="A165" s="21">
        <v>165.0</v>
      </c>
      <c r="B165" s="21" t="s">
        <v>184</v>
      </c>
      <c r="C165" s="21" t="s">
        <v>182</v>
      </c>
      <c r="D165" s="21" t="s">
        <v>20</v>
      </c>
    </row>
    <row r="166">
      <c r="A166" s="21">
        <v>166.0</v>
      </c>
      <c r="B166" s="21" t="s">
        <v>185</v>
      </c>
      <c r="C166" s="21" t="s">
        <v>182</v>
      </c>
      <c r="D166" s="21"/>
    </row>
    <row r="167">
      <c r="A167" s="21">
        <v>167.0</v>
      </c>
      <c r="B167" s="21" t="s">
        <v>186</v>
      </c>
      <c r="C167" s="21" t="s">
        <v>182</v>
      </c>
      <c r="D167" s="21"/>
    </row>
    <row r="168">
      <c r="A168" s="21">
        <v>168.0</v>
      </c>
      <c r="B168" s="21" t="s">
        <v>187</v>
      </c>
      <c r="C168" s="21" t="s">
        <v>182</v>
      </c>
      <c r="D168" s="21"/>
    </row>
    <row r="169">
      <c r="A169" s="21">
        <v>169.0</v>
      </c>
      <c r="B169" s="21" t="s">
        <v>188</v>
      </c>
      <c r="C169" s="21" t="s">
        <v>182</v>
      </c>
      <c r="D169" s="21"/>
    </row>
    <row r="170">
      <c r="A170" s="21">
        <v>170.0</v>
      </c>
      <c r="B170" s="21" t="s">
        <v>189</v>
      </c>
      <c r="C170" s="21" t="s">
        <v>182</v>
      </c>
      <c r="D170" s="21" t="s">
        <v>20</v>
      </c>
    </row>
    <row r="171">
      <c r="A171" s="21">
        <v>171.0</v>
      </c>
      <c r="B171" s="21" t="s">
        <v>190</v>
      </c>
      <c r="C171" s="21" t="s">
        <v>182</v>
      </c>
      <c r="D171" s="21" t="s">
        <v>20</v>
      </c>
    </row>
    <row r="172">
      <c r="A172" s="21">
        <v>172.0</v>
      </c>
      <c r="B172" s="21" t="s">
        <v>191</v>
      </c>
      <c r="C172" s="21" t="s">
        <v>182</v>
      </c>
      <c r="D172" s="21" t="s">
        <v>20</v>
      </c>
    </row>
    <row r="173">
      <c r="A173" s="21">
        <v>173.0</v>
      </c>
      <c r="B173" s="21" t="s">
        <v>192</v>
      </c>
      <c r="C173" s="21" t="s">
        <v>182</v>
      </c>
      <c r="D173" s="21" t="s">
        <v>20</v>
      </c>
    </row>
    <row r="174">
      <c r="A174" s="21">
        <v>174.0</v>
      </c>
      <c r="B174" s="21" t="s">
        <v>193</v>
      </c>
      <c r="C174" s="21" t="s">
        <v>182</v>
      </c>
      <c r="D174" s="21" t="s">
        <v>20</v>
      </c>
    </row>
    <row r="175">
      <c r="A175" s="21">
        <v>175.0</v>
      </c>
      <c r="B175" s="21" t="s">
        <v>194</v>
      </c>
      <c r="C175" s="21" t="s">
        <v>182</v>
      </c>
      <c r="D175" s="21" t="s">
        <v>20</v>
      </c>
    </row>
    <row r="176">
      <c r="A176" s="21">
        <v>176.0</v>
      </c>
      <c r="B176" s="21" t="s">
        <v>195</v>
      </c>
      <c r="C176" s="21" t="s">
        <v>182</v>
      </c>
      <c r="D176" s="21" t="s">
        <v>20</v>
      </c>
      <c r="E176" s="22">
        <v>1.0</v>
      </c>
    </row>
    <row r="177">
      <c r="A177" s="21">
        <v>177.0</v>
      </c>
      <c r="B177" s="21" t="s">
        <v>196</v>
      </c>
      <c r="C177" s="21" t="s">
        <v>182</v>
      </c>
      <c r="D177" s="21" t="s">
        <v>20</v>
      </c>
    </row>
    <row r="178">
      <c r="A178" s="21">
        <v>178.0</v>
      </c>
      <c r="B178" s="21" t="s">
        <v>197</v>
      </c>
      <c r="C178" s="21" t="s">
        <v>182</v>
      </c>
      <c r="D178" s="21"/>
    </row>
    <row r="179">
      <c r="A179" s="21">
        <v>179.0</v>
      </c>
      <c r="B179" s="21" t="s">
        <v>198</v>
      </c>
      <c r="C179" s="21" t="s">
        <v>182</v>
      </c>
      <c r="D179" s="21"/>
    </row>
    <row r="180">
      <c r="A180" s="21">
        <v>180.0</v>
      </c>
      <c r="B180" s="21" t="s">
        <v>199</v>
      </c>
      <c r="C180" s="21" t="s">
        <v>182</v>
      </c>
      <c r="D180" s="21" t="s">
        <v>20</v>
      </c>
      <c r="E180" s="22">
        <v>1.0</v>
      </c>
    </row>
    <row r="181">
      <c r="A181" s="21">
        <v>181.0</v>
      </c>
      <c r="B181" s="21" t="s">
        <v>18</v>
      </c>
      <c r="C181" s="21" t="s">
        <v>200</v>
      </c>
      <c r="D181" s="21" t="s">
        <v>20</v>
      </c>
    </row>
    <row r="182">
      <c r="A182" s="21">
        <v>182.0</v>
      </c>
      <c r="B182" s="21" t="s">
        <v>201</v>
      </c>
      <c r="C182" s="21" t="s">
        <v>200</v>
      </c>
      <c r="D182" s="21"/>
    </row>
    <row r="183">
      <c r="A183" s="21">
        <v>183.0</v>
      </c>
      <c r="B183" s="21" t="s">
        <v>202</v>
      </c>
      <c r="C183" s="21" t="s">
        <v>200</v>
      </c>
      <c r="D183" s="21"/>
    </row>
    <row r="184">
      <c r="A184" s="21">
        <v>184.0</v>
      </c>
      <c r="B184" s="21" t="s">
        <v>203</v>
      </c>
      <c r="C184" s="21" t="s">
        <v>200</v>
      </c>
      <c r="D184" s="21" t="s">
        <v>20</v>
      </c>
    </row>
    <row r="185">
      <c r="A185" s="21">
        <v>185.0</v>
      </c>
      <c r="B185" s="21" t="s">
        <v>204</v>
      </c>
      <c r="C185" s="21" t="s">
        <v>200</v>
      </c>
      <c r="D185" s="21" t="s">
        <v>20</v>
      </c>
    </row>
    <row r="186">
      <c r="A186" s="21">
        <v>186.0</v>
      </c>
      <c r="B186" s="21" t="s">
        <v>205</v>
      </c>
      <c r="C186" s="21" t="s">
        <v>200</v>
      </c>
      <c r="D186" s="21"/>
    </row>
    <row r="187">
      <c r="A187" s="21">
        <v>187.0</v>
      </c>
      <c r="B187" s="21" t="s">
        <v>206</v>
      </c>
      <c r="C187" s="21" t="s">
        <v>200</v>
      </c>
      <c r="D187" s="21"/>
    </row>
    <row r="188">
      <c r="A188" s="21">
        <v>188.0</v>
      </c>
      <c r="B188" s="21" t="s">
        <v>207</v>
      </c>
      <c r="C188" s="21" t="s">
        <v>200</v>
      </c>
      <c r="D188" s="21" t="s">
        <v>20</v>
      </c>
    </row>
    <row r="189">
      <c r="A189" s="21">
        <v>189.0</v>
      </c>
      <c r="B189" s="21" t="s">
        <v>208</v>
      </c>
      <c r="C189" s="21" t="s">
        <v>200</v>
      </c>
      <c r="D189" s="21"/>
    </row>
    <row r="190">
      <c r="A190" s="21">
        <v>190.0</v>
      </c>
      <c r="B190" s="21" t="s">
        <v>209</v>
      </c>
      <c r="C190" s="21" t="s">
        <v>200</v>
      </c>
      <c r="D190" s="21" t="s">
        <v>20</v>
      </c>
    </row>
    <row r="191">
      <c r="A191" s="21">
        <v>191.0</v>
      </c>
      <c r="B191" s="21" t="s">
        <v>210</v>
      </c>
      <c r="C191" s="21" t="s">
        <v>200</v>
      </c>
      <c r="D191" s="21"/>
    </row>
    <row r="192">
      <c r="A192" s="21">
        <v>192.0</v>
      </c>
      <c r="B192" s="21" t="s">
        <v>211</v>
      </c>
      <c r="C192" s="21" t="s">
        <v>200</v>
      </c>
      <c r="D192" s="21" t="s">
        <v>20</v>
      </c>
    </row>
    <row r="193">
      <c r="A193" s="21">
        <v>193.0</v>
      </c>
      <c r="B193" s="21" t="s">
        <v>212</v>
      </c>
      <c r="C193" s="21" t="s">
        <v>200</v>
      </c>
      <c r="D193" s="21" t="s">
        <v>20</v>
      </c>
    </row>
    <row r="194">
      <c r="A194" s="21">
        <v>194.0</v>
      </c>
      <c r="B194" s="21" t="s">
        <v>213</v>
      </c>
      <c r="C194" s="21" t="s">
        <v>200</v>
      </c>
      <c r="D194" s="21" t="s">
        <v>20</v>
      </c>
    </row>
    <row r="195">
      <c r="A195" s="21">
        <v>195.0</v>
      </c>
      <c r="B195" s="21" t="s">
        <v>214</v>
      </c>
      <c r="C195" s="21" t="s">
        <v>200</v>
      </c>
      <c r="D195" s="21" t="s">
        <v>20</v>
      </c>
    </row>
    <row r="196">
      <c r="A196" s="21">
        <v>196.0</v>
      </c>
      <c r="B196" s="21" t="s">
        <v>215</v>
      </c>
      <c r="C196" s="21" t="s">
        <v>200</v>
      </c>
      <c r="D196" s="21"/>
    </row>
    <row r="197">
      <c r="A197" s="21">
        <v>197.0</v>
      </c>
      <c r="B197" s="21" t="s">
        <v>216</v>
      </c>
      <c r="C197" s="21" t="s">
        <v>200</v>
      </c>
      <c r="D197" s="21" t="s">
        <v>20</v>
      </c>
    </row>
    <row r="198">
      <c r="A198" s="21">
        <v>198.0</v>
      </c>
      <c r="B198" s="21" t="s">
        <v>217</v>
      </c>
      <c r="C198" s="21" t="s">
        <v>200</v>
      </c>
      <c r="D198" s="21"/>
    </row>
    <row r="199">
      <c r="A199" s="21">
        <v>199.0</v>
      </c>
      <c r="B199" s="21" t="s">
        <v>18</v>
      </c>
      <c r="C199" s="21" t="s">
        <v>218</v>
      </c>
      <c r="D199" s="21" t="s">
        <v>20</v>
      </c>
    </row>
    <row r="200">
      <c r="A200" s="21">
        <v>200.0</v>
      </c>
      <c r="B200" s="21" t="s">
        <v>219</v>
      </c>
      <c r="C200" s="21" t="s">
        <v>218</v>
      </c>
      <c r="D200" s="21"/>
    </row>
    <row r="201">
      <c r="A201" s="21">
        <v>201.0</v>
      </c>
      <c r="B201" s="21" t="s">
        <v>220</v>
      </c>
      <c r="C201" s="21" t="s">
        <v>218</v>
      </c>
      <c r="D201" s="21"/>
    </row>
    <row r="202">
      <c r="A202" s="21">
        <v>202.0</v>
      </c>
      <c r="B202" s="21" t="s">
        <v>221</v>
      </c>
      <c r="C202" s="21" t="s">
        <v>218</v>
      </c>
      <c r="D202" s="21" t="s">
        <v>20</v>
      </c>
      <c r="E202" s="22">
        <v>1.0</v>
      </c>
    </row>
    <row r="203">
      <c r="A203" s="21">
        <v>203.0</v>
      </c>
      <c r="B203" s="21" t="s">
        <v>222</v>
      </c>
      <c r="C203" s="21" t="s">
        <v>218</v>
      </c>
      <c r="D203" s="21" t="s">
        <v>20</v>
      </c>
    </row>
    <row r="204">
      <c r="A204" s="21">
        <v>204.0</v>
      </c>
      <c r="B204" s="21" t="s">
        <v>223</v>
      </c>
      <c r="C204" s="21" t="s">
        <v>218</v>
      </c>
      <c r="D204" s="21" t="s">
        <v>20</v>
      </c>
    </row>
    <row r="205">
      <c r="A205" s="21">
        <v>205.0</v>
      </c>
      <c r="B205" s="21" t="s">
        <v>224</v>
      </c>
      <c r="C205" s="21" t="s">
        <v>218</v>
      </c>
      <c r="D205" s="21"/>
    </row>
    <row r="206">
      <c r="A206" s="21">
        <v>206.0</v>
      </c>
      <c r="B206" s="21" t="s">
        <v>225</v>
      </c>
      <c r="C206" s="21" t="s">
        <v>218</v>
      </c>
      <c r="D206" s="21" t="s">
        <v>20</v>
      </c>
    </row>
    <row r="207">
      <c r="A207" s="21">
        <v>207.0</v>
      </c>
      <c r="B207" s="21" t="s">
        <v>226</v>
      </c>
      <c r="C207" s="21" t="s">
        <v>218</v>
      </c>
      <c r="D207" s="21" t="s">
        <v>20</v>
      </c>
    </row>
    <row r="208">
      <c r="A208" s="21">
        <v>208.0</v>
      </c>
      <c r="B208" s="21" t="s">
        <v>227</v>
      </c>
      <c r="C208" s="21" t="s">
        <v>218</v>
      </c>
      <c r="D208" s="21" t="s">
        <v>20</v>
      </c>
    </row>
    <row r="209">
      <c r="A209" s="21">
        <v>209.0</v>
      </c>
      <c r="B209" s="21" t="s">
        <v>228</v>
      </c>
      <c r="C209" s="21" t="s">
        <v>218</v>
      </c>
      <c r="D209" s="21" t="s">
        <v>20</v>
      </c>
      <c r="E209" s="22">
        <v>1.0</v>
      </c>
    </row>
    <row r="210">
      <c r="A210" s="21">
        <v>210.0</v>
      </c>
      <c r="B210" s="21" t="s">
        <v>229</v>
      </c>
      <c r="C210" s="21" t="s">
        <v>218</v>
      </c>
      <c r="D210" s="21" t="s">
        <v>20</v>
      </c>
    </row>
    <row r="211">
      <c r="A211" s="21">
        <v>211.0</v>
      </c>
      <c r="B211" s="21" t="s">
        <v>230</v>
      </c>
      <c r="C211" s="21" t="s">
        <v>218</v>
      </c>
      <c r="D211" s="21" t="s">
        <v>20</v>
      </c>
    </row>
    <row r="212">
      <c r="A212" s="21">
        <v>212.0</v>
      </c>
      <c r="B212" s="21" t="s">
        <v>231</v>
      </c>
      <c r="C212" s="21" t="s">
        <v>218</v>
      </c>
      <c r="D212" s="21" t="s">
        <v>20</v>
      </c>
    </row>
    <row r="213">
      <c r="A213" s="21">
        <v>213.0</v>
      </c>
      <c r="B213" s="21" t="s">
        <v>232</v>
      </c>
      <c r="C213" s="21" t="s">
        <v>218</v>
      </c>
      <c r="D213" s="21" t="s">
        <v>20</v>
      </c>
    </row>
    <row r="214">
      <c r="A214" s="21">
        <v>214.0</v>
      </c>
      <c r="B214" s="21" t="s">
        <v>233</v>
      </c>
      <c r="C214" s="21" t="s">
        <v>218</v>
      </c>
      <c r="D214" s="21"/>
    </row>
    <row r="215">
      <c r="A215" s="21">
        <v>215.0</v>
      </c>
      <c r="B215" s="21" t="s">
        <v>234</v>
      </c>
      <c r="C215" s="21" t="s">
        <v>218</v>
      </c>
      <c r="D215" s="21"/>
    </row>
    <row r="216">
      <c r="A216" s="21">
        <v>216.0</v>
      </c>
      <c r="B216" s="21" t="s">
        <v>235</v>
      </c>
      <c r="C216" s="21" t="s">
        <v>218</v>
      </c>
      <c r="D216" s="21" t="s">
        <v>20</v>
      </c>
    </row>
    <row r="217">
      <c r="A217" s="21">
        <v>217.0</v>
      </c>
      <c r="B217" s="21" t="s">
        <v>18</v>
      </c>
      <c r="C217" s="21" t="s">
        <v>236</v>
      </c>
      <c r="D217" s="21"/>
    </row>
    <row r="218">
      <c r="A218" s="21">
        <v>218.0</v>
      </c>
      <c r="B218" s="21" t="s">
        <v>237</v>
      </c>
      <c r="C218" s="21" t="s">
        <v>236</v>
      </c>
      <c r="D218" s="21"/>
    </row>
    <row r="219">
      <c r="A219" s="21">
        <v>219.0</v>
      </c>
      <c r="B219" s="21" t="s">
        <v>238</v>
      </c>
      <c r="C219" s="21" t="s">
        <v>236</v>
      </c>
      <c r="D219" s="21" t="s">
        <v>20</v>
      </c>
    </row>
    <row r="220">
      <c r="A220" s="21">
        <v>220.0</v>
      </c>
      <c r="B220" s="21" t="s">
        <v>239</v>
      </c>
      <c r="C220" s="21" t="s">
        <v>236</v>
      </c>
      <c r="D220" s="21" t="s">
        <v>20</v>
      </c>
    </row>
    <row r="221">
      <c r="A221" s="21">
        <v>221.0</v>
      </c>
      <c r="B221" s="21" t="s">
        <v>240</v>
      </c>
      <c r="C221" s="21" t="s">
        <v>236</v>
      </c>
      <c r="D221" s="21" t="s">
        <v>20</v>
      </c>
    </row>
    <row r="222">
      <c r="A222" s="21">
        <v>222.0</v>
      </c>
      <c r="B222" s="21" t="s">
        <v>241</v>
      </c>
      <c r="C222" s="21" t="s">
        <v>236</v>
      </c>
      <c r="D222" s="21" t="s">
        <v>20</v>
      </c>
    </row>
    <row r="223">
      <c r="A223" s="21">
        <v>223.0</v>
      </c>
      <c r="B223" s="21" t="s">
        <v>242</v>
      </c>
      <c r="C223" s="21" t="s">
        <v>236</v>
      </c>
      <c r="D223" s="21" t="s">
        <v>20</v>
      </c>
    </row>
    <row r="224">
      <c r="A224" s="21">
        <v>224.0</v>
      </c>
      <c r="B224" s="21" t="s">
        <v>243</v>
      </c>
      <c r="C224" s="21" t="s">
        <v>236</v>
      </c>
      <c r="D224" s="21"/>
    </row>
    <row r="225">
      <c r="A225" s="21">
        <v>225.0</v>
      </c>
      <c r="B225" s="21" t="s">
        <v>244</v>
      </c>
      <c r="C225" s="21" t="s">
        <v>236</v>
      </c>
      <c r="D225" s="21" t="s">
        <v>20</v>
      </c>
    </row>
    <row r="226">
      <c r="A226" s="21">
        <v>226.0</v>
      </c>
      <c r="B226" s="21" t="s">
        <v>245</v>
      </c>
      <c r="C226" s="21" t="s">
        <v>236</v>
      </c>
      <c r="D226" s="21" t="s">
        <v>20</v>
      </c>
    </row>
    <row r="227">
      <c r="A227" s="21">
        <v>227.0</v>
      </c>
      <c r="B227" s="21" t="s">
        <v>246</v>
      </c>
      <c r="C227" s="21" t="s">
        <v>236</v>
      </c>
      <c r="D227" s="21" t="s">
        <v>20</v>
      </c>
    </row>
    <row r="228">
      <c r="A228" s="21">
        <v>228.0</v>
      </c>
      <c r="B228" s="21" t="s">
        <v>247</v>
      </c>
      <c r="C228" s="21" t="s">
        <v>236</v>
      </c>
      <c r="D228" s="21"/>
    </row>
    <row r="229">
      <c r="A229" s="21">
        <v>229.0</v>
      </c>
      <c r="B229" s="21" t="s">
        <v>248</v>
      </c>
      <c r="C229" s="21" t="s">
        <v>236</v>
      </c>
      <c r="D229" s="21"/>
    </row>
    <row r="230">
      <c r="A230" s="21">
        <v>230.0</v>
      </c>
      <c r="B230" s="21" t="s">
        <v>249</v>
      </c>
      <c r="C230" s="21" t="s">
        <v>236</v>
      </c>
      <c r="D230" s="21"/>
    </row>
    <row r="231">
      <c r="A231" s="21">
        <v>231.0</v>
      </c>
      <c r="B231" s="21" t="s">
        <v>250</v>
      </c>
      <c r="C231" s="21" t="s">
        <v>236</v>
      </c>
      <c r="D231" s="21"/>
    </row>
    <row r="232">
      <c r="A232" s="21">
        <v>232.0</v>
      </c>
      <c r="B232" s="21" t="s">
        <v>251</v>
      </c>
      <c r="C232" s="21" t="s">
        <v>236</v>
      </c>
      <c r="D232" s="21"/>
    </row>
    <row r="233">
      <c r="A233" s="21">
        <v>233.0</v>
      </c>
      <c r="B233" s="21" t="s">
        <v>252</v>
      </c>
      <c r="C233" s="21" t="s">
        <v>236</v>
      </c>
      <c r="D233" s="21"/>
    </row>
    <row r="234">
      <c r="A234" s="21">
        <v>234.0</v>
      </c>
      <c r="B234" s="21" t="s">
        <v>253</v>
      </c>
      <c r="C234" s="21" t="s">
        <v>236</v>
      </c>
      <c r="D234" s="21" t="s">
        <v>20</v>
      </c>
    </row>
    <row r="235">
      <c r="A235" s="21">
        <v>235.0</v>
      </c>
      <c r="B235" s="21" t="s">
        <v>18</v>
      </c>
      <c r="C235" s="21" t="s">
        <v>254</v>
      </c>
      <c r="D235" s="21" t="s">
        <v>20</v>
      </c>
      <c r="E235" s="22">
        <v>1.0</v>
      </c>
    </row>
    <row r="236">
      <c r="A236" s="21">
        <v>236.0</v>
      </c>
      <c r="B236" s="21" t="s">
        <v>255</v>
      </c>
      <c r="C236" s="21" t="s">
        <v>254</v>
      </c>
      <c r="D236" s="21" t="s">
        <v>20</v>
      </c>
    </row>
    <row r="237">
      <c r="A237" s="21">
        <v>237.0</v>
      </c>
      <c r="B237" s="21" t="s">
        <v>256</v>
      </c>
      <c r="C237" s="21" t="s">
        <v>254</v>
      </c>
      <c r="D237" s="21" t="s">
        <v>20</v>
      </c>
    </row>
    <row r="238">
      <c r="A238" s="21">
        <v>238.0</v>
      </c>
      <c r="B238" s="21" t="s">
        <v>257</v>
      </c>
      <c r="C238" s="21" t="s">
        <v>254</v>
      </c>
      <c r="D238" s="21" t="s">
        <v>20</v>
      </c>
    </row>
    <row r="239">
      <c r="A239" s="21">
        <v>239.0</v>
      </c>
      <c r="B239" s="21" t="s">
        <v>258</v>
      </c>
      <c r="C239" s="21" t="s">
        <v>254</v>
      </c>
      <c r="D239" s="21"/>
    </row>
    <row r="240">
      <c r="A240" s="21">
        <v>240.0</v>
      </c>
      <c r="B240" s="21" t="s">
        <v>259</v>
      </c>
      <c r="C240" s="21" t="s">
        <v>254</v>
      </c>
      <c r="D240" s="21" t="s">
        <v>20</v>
      </c>
      <c r="E240" s="22">
        <v>1.0</v>
      </c>
    </row>
    <row r="241">
      <c r="A241" s="21">
        <v>241.0</v>
      </c>
      <c r="B241" s="21" t="s">
        <v>260</v>
      </c>
      <c r="C241" s="21" t="s">
        <v>254</v>
      </c>
      <c r="D241" s="21"/>
    </row>
    <row r="242">
      <c r="A242" s="21">
        <v>242.0</v>
      </c>
      <c r="B242" s="21" t="s">
        <v>261</v>
      </c>
      <c r="C242" s="21" t="s">
        <v>254</v>
      </c>
      <c r="D242" s="21"/>
    </row>
    <row r="243">
      <c r="A243" s="21">
        <v>243.0</v>
      </c>
      <c r="B243" s="21" t="s">
        <v>262</v>
      </c>
      <c r="C243" s="21" t="s">
        <v>254</v>
      </c>
      <c r="D243" s="21" t="s">
        <v>20</v>
      </c>
    </row>
    <row r="244">
      <c r="A244" s="21">
        <v>244.0</v>
      </c>
      <c r="B244" s="21" t="s">
        <v>263</v>
      </c>
      <c r="C244" s="21" t="s">
        <v>254</v>
      </c>
      <c r="D244" s="21" t="s">
        <v>20</v>
      </c>
    </row>
    <row r="245">
      <c r="A245" s="21">
        <v>245.0</v>
      </c>
      <c r="B245" s="21" t="s">
        <v>264</v>
      </c>
      <c r="C245" s="21" t="s">
        <v>254</v>
      </c>
      <c r="D245" s="21" t="s">
        <v>20</v>
      </c>
    </row>
    <row r="246">
      <c r="A246" s="21">
        <v>246.0</v>
      </c>
      <c r="B246" s="21" t="s">
        <v>265</v>
      </c>
      <c r="C246" s="21" t="s">
        <v>254</v>
      </c>
      <c r="D246" s="21" t="s">
        <v>20</v>
      </c>
    </row>
    <row r="247">
      <c r="A247" s="21">
        <v>247.0</v>
      </c>
      <c r="B247" s="21" t="s">
        <v>266</v>
      </c>
      <c r="C247" s="21" t="s">
        <v>254</v>
      </c>
      <c r="D247" s="21"/>
    </row>
    <row r="248">
      <c r="A248" s="21">
        <v>248.0</v>
      </c>
      <c r="B248" s="21" t="s">
        <v>267</v>
      </c>
      <c r="C248" s="21" t="s">
        <v>254</v>
      </c>
      <c r="D248" s="21" t="s">
        <v>20</v>
      </c>
    </row>
    <row r="249">
      <c r="A249" s="21">
        <v>249.0</v>
      </c>
      <c r="B249" s="21" t="s">
        <v>268</v>
      </c>
      <c r="C249" s="21" t="s">
        <v>254</v>
      </c>
      <c r="D249" s="21"/>
    </row>
    <row r="250">
      <c r="A250" s="21">
        <v>250.0</v>
      </c>
      <c r="B250" s="21" t="s">
        <v>269</v>
      </c>
      <c r="C250" s="21" t="s">
        <v>254</v>
      </c>
      <c r="D250" s="21" t="s">
        <v>20</v>
      </c>
    </row>
    <row r="251">
      <c r="A251" s="21">
        <v>251.0</v>
      </c>
      <c r="B251" s="21" t="s">
        <v>270</v>
      </c>
      <c r="C251" s="21" t="s">
        <v>254</v>
      </c>
      <c r="D251" s="21"/>
    </row>
    <row r="252">
      <c r="A252" s="21">
        <v>252.0</v>
      </c>
      <c r="B252" s="21" t="s">
        <v>271</v>
      </c>
      <c r="C252" s="21" t="s">
        <v>254</v>
      </c>
      <c r="D252" s="21"/>
    </row>
    <row r="253">
      <c r="A253" s="21">
        <v>253.0</v>
      </c>
      <c r="B253" s="21" t="s">
        <v>18</v>
      </c>
      <c r="C253" s="21" t="s">
        <v>272</v>
      </c>
      <c r="D253" s="21"/>
    </row>
    <row r="254">
      <c r="A254" s="21">
        <v>254.0</v>
      </c>
      <c r="B254" s="21" t="s">
        <v>273</v>
      </c>
      <c r="C254" s="21" t="s">
        <v>272</v>
      </c>
      <c r="D254" s="21"/>
    </row>
    <row r="255">
      <c r="A255" s="21">
        <v>255.0</v>
      </c>
      <c r="B255" s="21" t="s">
        <v>274</v>
      </c>
      <c r="C255" s="21" t="s">
        <v>272</v>
      </c>
      <c r="D255" s="21"/>
    </row>
    <row r="256">
      <c r="A256" s="21">
        <v>256.0</v>
      </c>
      <c r="B256" s="21" t="s">
        <v>275</v>
      </c>
      <c r="C256" s="21" t="s">
        <v>272</v>
      </c>
      <c r="D256" s="21" t="s">
        <v>20</v>
      </c>
    </row>
    <row r="257">
      <c r="A257" s="21">
        <v>257.0</v>
      </c>
      <c r="B257" s="21" t="s">
        <v>276</v>
      </c>
      <c r="C257" s="21" t="s">
        <v>272</v>
      </c>
      <c r="D257" s="21" t="s">
        <v>20</v>
      </c>
    </row>
    <row r="258">
      <c r="A258" s="21">
        <v>258.0</v>
      </c>
      <c r="B258" s="21" t="s">
        <v>277</v>
      </c>
      <c r="C258" s="21" t="s">
        <v>272</v>
      </c>
      <c r="D258" s="21" t="s">
        <v>20</v>
      </c>
    </row>
    <row r="259">
      <c r="A259" s="21">
        <v>259.0</v>
      </c>
      <c r="B259" s="21" t="s">
        <v>278</v>
      </c>
      <c r="C259" s="21" t="s">
        <v>272</v>
      </c>
      <c r="D259" s="21" t="s">
        <v>20</v>
      </c>
      <c r="E259" s="22">
        <v>1.0</v>
      </c>
    </row>
    <row r="260">
      <c r="A260" s="21">
        <v>260.0</v>
      </c>
      <c r="B260" s="21" t="s">
        <v>279</v>
      </c>
      <c r="C260" s="21" t="s">
        <v>272</v>
      </c>
      <c r="D260" s="21"/>
    </row>
    <row r="261">
      <c r="A261" s="21">
        <v>261.0</v>
      </c>
      <c r="B261" s="21" t="s">
        <v>280</v>
      </c>
      <c r="C261" s="21" t="s">
        <v>272</v>
      </c>
      <c r="D261" s="21"/>
    </row>
    <row r="262">
      <c r="A262" s="21">
        <v>262.0</v>
      </c>
      <c r="B262" s="21" t="s">
        <v>281</v>
      </c>
      <c r="C262" s="21" t="s">
        <v>272</v>
      </c>
      <c r="D262" s="21" t="s">
        <v>20</v>
      </c>
    </row>
    <row r="263">
      <c r="A263" s="21">
        <v>263.0</v>
      </c>
      <c r="B263" s="21" t="s">
        <v>282</v>
      </c>
      <c r="C263" s="21" t="s">
        <v>272</v>
      </c>
      <c r="D263" s="21"/>
    </row>
    <row r="264">
      <c r="A264" s="21">
        <v>264.0</v>
      </c>
      <c r="B264" s="21" t="s">
        <v>283</v>
      </c>
      <c r="C264" s="21" t="s">
        <v>272</v>
      </c>
      <c r="D264" s="21" t="s">
        <v>20</v>
      </c>
    </row>
    <row r="265">
      <c r="A265" s="21">
        <v>265.0</v>
      </c>
      <c r="B265" s="21" t="s">
        <v>284</v>
      </c>
      <c r="C265" s="21" t="s">
        <v>272</v>
      </c>
      <c r="D265" s="21" t="s">
        <v>20</v>
      </c>
    </row>
    <row r="266">
      <c r="A266" s="21">
        <v>266.0</v>
      </c>
      <c r="B266" s="21" t="s">
        <v>285</v>
      </c>
      <c r="C266" s="21" t="s">
        <v>272</v>
      </c>
      <c r="D266" s="21"/>
    </row>
    <row r="267">
      <c r="A267" s="21">
        <v>267.0</v>
      </c>
      <c r="B267" s="21" t="s">
        <v>286</v>
      </c>
      <c r="C267" s="21" t="s">
        <v>272</v>
      </c>
      <c r="D267" s="21" t="s">
        <v>20</v>
      </c>
    </row>
    <row r="268">
      <c r="A268" s="21">
        <v>268.0</v>
      </c>
      <c r="B268" s="21" t="s">
        <v>287</v>
      </c>
      <c r="C268" s="21" t="s">
        <v>272</v>
      </c>
      <c r="D268" s="21"/>
    </row>
    <row r="269">
      <c r="A269" s="21">
        <v>269.0</v>
      </c>
      <c r="B269" s="21" t="s">
        <v>288</v>
      </c>
      <c r="C269" s="21" t="s">
        <v>272</v>
      </c>
      <c r="D269" s="21" t="s">
        <v>20</v>
      </c>
      <c r="E269" s="22">
        <v>1.0</v>
      </c>
    </row>
    <row r="270">
      <c r="A270" s="21">
        <v>270.0</v>
      </c>
      <c r="B270" s="21" t="s">
        <v>289</v>
      </c>
      <c r="C270" s="21" t="s">
        <v>272</v>
      </c>
      <c r="D270" s="21" t="s">
        <v>20</v>
      </c>
    </row>
    <row r="271">
      <c r="A271" s="21">
        <v>271.0</v>
      </c>
      <c r="B271" s="21" t="s">
        <v>18</v>
      </c>
      <c r="C271" s="21" t="s">
        <v>290</v>
      </c>
      <c r="D271" s="21"/>
    </row>
    <row r="272">
      <c r="A272" s="21">
        <v>272.0</v>
      </c>
      <c r="B272" s="21" t="s">
        <v>291</v>
      </c>
      <c r="C272" s="21" t="s">
        <v>290</v>
      </c>
      <c r="D272" s="21" t="s">
        <v>20</v>
      </c>
      <c r="E272" s="22">
        <v>1.0</v>
      </c>
    </row>
    <row r="273">
      <c r="A273" s="21">
        <v>273.0</v>
      </c>
      <c r="B273" s="21" t="s">
        <v>292</v>
      </c>
      <c r="C273" s="21" t="s">
        <v>290</v>
      </c>
      <c r="D273" s="21"/>
    </row>
    <row r="274">
      <c r="A274" s="21">
        <v>274.0</v>
      </c>
      <c r="B274" s="21" t="s">
        <v>293</v>
      </c>
      <c r="C274" s="21" t="s">
        <v>290</v>
      </c>
      <c r="D274" s="21"/>
    </row>
    <row r="275">
      <c r="A275" s="21">
        <v>275.0</v>
      </c>
      <c r="B275" s="21" t="s">
        <v>294</v>
      </c>
      <c r="C275" s="21" t="s">
        <v>290</v>
      </c>
      <c r="D275" s="21" t="s">
        <v>20</v>
      </c>
    </row>
    <row r="276">
      <c r="A276" s="21">
        <v>276.0</v>
      </c>
      <c r="B276" s="21" t="s">
        <v>295</v>
      </c>
      <c r="C276" s="21" t="s">
        <v>290</v>
      </c>
      <c r="D276" s="21"/>
    </row>
    <row r="277">
      <c r="A277" s="21">
        <v>277.0</v>
      </c>
      <c r="B277" s="21" t="s">
        <v>296</v>
      </c>
      <c r="C277" s="21" t="s">
        <v>290</v>
      </c>
      <c r="D277" s="21" t="s">
        <v>20</v>
      </c>
    </row>
    <row r="278">
      <c r="A278" s="21">
        <v>278.0</v>
      </c>
      <c r="B278" s="21" t="s">
        <v>297</v>
      </c>
      <c r="C278" s="21" t="s">
        <v>290</v>
      </c>
      <c r="D278" s="21" t="s">
        <v>20</v>
      </c>
    </row>
    <row r="279">
      <c r="A279" s="21">
        <v>279.0</v>
      </c>
      <c r="B279" s="21" t="s">
        <v>298</v>
      </c>
      <c r="C279" s="21" t="s">
        <v>290</v>
      </c>
      <c r="D279" s="21"/>
    </row>
    <row r="280">
      <c r="A280" s="21">
        <v>280.0</v>
      </c>
      <c r="B280" s="21" t="s">
        <v>299</v>
      </c>
      <c r="C280" s="21" t="s">
        <v>290</v>
      </c>
      <c r="D280" s="21"/>
    </row>
    <row r="281">
      <c r="A281" s="21">
        <v>281.0</v>
      </c>
      <c r="B281" s="21" t="s">
        <v>300</v>
      </c>
      <c r="C281" s="21" t="s">
        <v>290</v>
      </c>
      <c r="D281" s="21" t="s">
        <v>20</v>
      </c>
      <c r="E281" s="22">
        <v>1.0</v>
      </c>
    </row>
    <row r="282">
      <c r="A282" s="21">
        <v>282.0</v>
      </c>
      <c r="B282" s="21" t="s">
        <v>301</v>
      </c>
      <c r="C282" s="21" t="s">
        <v>290</v>
      </c>
      <c r="D282" s="21"/>
    </row>
    <row r="283">
      <c r="A283" s="21">
        <v>283.0</v>
      </c>
      <c r="B283" s="21" t="s">
        <v>302</v>
      </c>
      <c r="C283" s="21" t="s">
        <v>290</v>
      </c>
      <c r="D283" s="21" t="s">
        <v>20</v>
      </c>
      <c r="E283" s="22">
        <v>1.0</v>
      </c>
    </row>
    <row r="284">
      <c r="A284" s="21">
        <v>284.0</v>
      </c>
      <c r="B284" s="21" t="s">
        <v>303</v>
      </c>
      <c r="C284" s="21" t="s">
        <v>290</v>
      </c>
      <c r="D284" s="21" t="s">
        <v>20</v>
      </c>
    </row>
    <row r="285">
      <c r="A285" s="21">
        <v>285.0</v>
      </c>
      <c r="B285" s="21" t="s">
        <v>304</v>
      </c>
      <c r="C285" s="21" t="s">
        <v>290</v>
      </c>
      <c r="D285" s="21"/>
    </row>
    <row r="286">
      <c r="A286" s="21">
        <v>286.0</v>
      </c>
      <c r="B286" s="21" t="s">
        <v>305</v>
      </c>
      <c r="C286" s="21" t="s">
        <v>290</v>
      </c>
      <c r="D286" s="21"/>
    </row>
    <row r="287">
      <c r="A287" s="21">
        <v>287.0</v>
      </c>
      <c r="B287" s="21" t="s">
        <v>306</v>
      </c>
      <c r="C287" s="21" t="s">
        <v>290</v>
      </c>
      <c r="D287" s="21" t="s">
        <v>20</v>
      </c>
    </row>
    <row r="288">
      <c r="A288" s="21">
        <v>288.0</v>
      </c>
      <c r="B288" s="21" t="s">
        <v>307</v>
      </c>
      <c r="C288" s="21" t="s">
        <v>290</v>
      </c>
      <c r="D288" s="21"/>
    </row>
    <row r="289">
      <c r="A289" s="21">
        <v>289.0</v>
      </c>
      <c r="B289" s="21" t="s">
        <v>18</v>
      </c>
      <c r="C289" s="21" t="s">
        <v>308</v>
      </c>
      <c r="D289" s="21"/>
    </row>
    <row r="290">
      <c r="A290" s="21">
        <v>290.0</v>
      </c>
      <c r="B290" s="21" t="s">
        <v>309</v>
      </c>
      <c r="C290" s="21" t="s">
        <v>308</v>
      </c>
      <c r="D290" s="21" t="s">
        <v>20</v>
      </c>
    </row>
    <row r="291">
      <c r="A291" s="21">
        <v>291.0</v>
      </c>
      <c r="B291" s="21" t="s">
        <v>310</v>
      </c>
      <c r="C291" s="21" t="s">
        <v>308</v>
      </c>
      <c r="D291" s="21" t="s">
        <v>20</v>
      </c>
    </row>
    <row r="292">
      <c r="A292" s="21">
        <v>292.0</v>
      </c>
      <c r="B292" s="21" t="s">
        <v>311</v>
      </c>
      <c r="C292" s="21" t="s">
        <v>308</v>
      </c>
      <c r="D292" s="21" t="s">
        <v>20</v>
      </c>
      <c r="E292" s="22">
        <v>1.0</v>
      </c>
    </row>
    <row r="293">
      <c r="A293" s="21">
        <v>293.0</v>
      </c>
      <c r="B293" s="21" t="s">
        <v>312</v>
      </c>
      <c r="C293" s="21" t="s">
        <v>308</v>
      </c>
      <c r="D293" s="21" t="s">
        <v>20</v>
      </c>
    </row>
    <row r="294">
      <c r="A294" s="21">
        <v>294.0</v>
      </c>
      <c r="B294" s="21" t="s">
        <v>313</v>
      </c>
      <c r="C294" s="21" t="s">
        <v>308</v>
      </c>
      <c r="D294" s="21"/>
    </row>
    <row r="295">
      <c r="A295" s="21">
        <v>295.0</v>
      </c>
      <c r="B295" s="21" t="s">
        <v>314</v>
      </c>
      <c r="C295" s="21" t="s">
        <v>308</v>
      </c>
      <c r="D295" s="21" t="s">
        <v>20</v>
      </c>
      <c r="E295" s="22">
        <v>1.0</v>
      </c>
    </row>
    <row r="296">
      <c r="A296" s="21">
        <v>296.0</v>
      </c>
      <c r="B296" s="21" t="s">
        <v>315</v>
      </c>
      <c r="C296" s="21" t="s">
        <v>308</v>
      </c>
      <c r="D296" s="21"/>
    </row>
    <row r="297">
      <c r="A297" s="21">
        <v>297.0</v>
      </c>
      <c r="B297" s="21" t="s">
        <v>316</v>
      </c>
      <c r="C297" s="21" t="s">
        <v>308</v>
      </c>
      <c r="D297" s="21"/>
    </row>
    <row r="298">
      <c r="A298" s="21">
        <v>298.0</v>
      </c>
      <c r="B298" s="21" t="s">
        <v>317</v>
      </c>
      <c r="C298" s="21" t="s">
        <v>308</v>
      </c>
      <c r="D298" s="21" t="s">
        <v>20</v>
      </c>
    </row>
    <row r="299">
      <c r="A299" s="21">
        <v>299.0</v>
      </c>
      <c r="B299" s="21" t="s">
        <v>318</v>
      </c>
      <c r="C299" s="21" t="s">
        <v>308</v>
      </c>
      <c r="D299" s="21" t="s">
        <v>20</v>
      </c>
    </row>
    <row r="300">
      <c r="A300" s="21">
        <v>300.0</v>
      </c>
      <c r="B300" s="21" t="s">
        <v>319</v>
      </c>
      <c r="C300" s="21" t="s">
        <v>308</v>
      </c>
      <c r="D300" s="21"/>
    </row>
    <row r="301">
      <c r="A301" s="21">
        <v>301.0</v>
      </c>
      <c r="B301" s="21" t="s">
        <v>320</v>
      </c>
      <c r="C301" s="21" t="s">
        <v>308</v>
      </c>
      <c r="D301" s="21"/>
    </row>
    <row r="302">
      <c r="A302" s="21">
        <v>302.0</v>
      </c>
      <c r="B302" s="21" t="s">
        <v>321</v>
      </c>
      <c r="C302" s="21" t="s">
        <v>308</v>
      </c>
      <c r="D302" s="21" t="s">
        <v>20</v>
      </c>
    </row>
    <row r="303">
      <c r="A303" s="21">
        <v>303.0</v>
      </c>
      <c r="B303" s="21" t="s">
        <v>322</v>
      </c>
      <c r="C303" s="21" t="s">
        <v>308</v>
      </c>
      <c r="D303" s="21" t="s">
        <v>20</v>
      </c>
    </row>
    <row r="304">
      <c r="A304" s="21">
        <v>304.0</v>
      </c>
      <c r="B304" s="21" t="s">
        <v>323</v>
      </c>
      <c r="C304" s="21" t="s">
        <v>308</v>
      </c>
      <c r="D304" s="21" t="s">
        <v>20</v>
      </c>
    </row>
    <row r="305">
      <c r="A305" s="21">
        <v>305.0</v>
      </c>
      <c r="B305" s="21" t="s">
        <v>324</v>
      </c>
      <c r="C305" s="21" t="s">
        <v>308</v>
      </c>
      <c r="D305" s="21"/>
    </row>
    <row r="306">
      <c r="A306" s="21">
        <v>306.0</v>
      </c>
      <c r="B306" s="21" t="s">
        <v>325</v>
      </c>
      <c r="C306" s="21" t="s">
        <v>308</v>
      </c>
      <c r="D306" s="21" t="s">
        <v>20</v>
      </c>
    </row>
    <row r="307">
      <c r="A307" s="21">
        <v>307.0</v>
      </c>
      <c r="B307" s="21" t="s">
        <v>18</v>
      </c>
      <c r="C307" s="21" t="s">
        <v>326</v>
      </c>
      <c r="D307" s="21" t="s">
        <v>20</v>
      </c>
    </row>
    <row r="308">
      <c r="A308" s="21">
        <v>308.0</v>
      </c>
      <c r="B308" s="21" t="s">
        <v>327</v>
      </c>
      <c r="C308" s="21" t="s">
        <v>326</v>
      </c>
      <c r="D308" s="21"/>
    </row>
    <row r="309">
      <c r="A309" s="21">
        <v>309.0</v>
      </c>
      <c r="B309" s="21" t="s">
        <v>328</v>
      </c>
      <c r="C309" s="21" t="s">
        <v>326</v>
      </c>
      <c r="D309" s="21" t="s">
        <v>20</v>
      </c>
      <c r="E309" s="22">
        <v>1.0</v>
      </c>
    </row>
    <row r="310">
      <c r="A310" s="21">
        <v>310.0</v>
      </c>
      <c r="B310" s="21" t="s">
        <v>329</v>
      </c>
      <c r="C310" s="21" t="s">
        <v>326</v>
      </c>
      <c r="D310" s="21"/>
    </row>
    <row r="311">
      <c r="A311" s="21">
        <v>311.0</v>
      </c>
      <c r="B311" s="21" t="s">
        <v>330</v>
      </c>
      <c r="C311" s="21" t="s">
        <v>326</v>
      </c>
      <c r="D311" s="21" t="s">
        <v>20</v>
      </c>
    </row>
    <row r="312">
      <c r="A312" s="21">
        <v>312.0</v>
      </c>
      <c r="B312" s="21" t="s">
        <v>331</v>
      </c>
      <c r="C312" s="21" t="s">
        <v>326</v>
      </c>
      <c r="D312" s="21"/>
    </row>
    <row r="313">
      <c r="A313" s="21">
        <v>313.0</v>
      </c>
      <c r="B313" s="21" t="s">
        <v>332</v>
      </c>
      <c r="C313" s="21" t="s">
        <v>326</v>
      </c>
      <c r="D313" s="21" t="s">
        <v>20</v>
      </c>
      <c r="E313" s="22">
        <v>2.0</v>
      </c>
    </row>
    <row r="314">
      <c r="A314" s="21">
        <v>314.0</v>
      </c>
      <c r="B314" s="21" t="s">
        <v>333</v>
      </c>
      <c r="C314" s="21" t="s">
        <v>326</v>
      </c>
      <c r="D314" s="21"/>
    </row>
    <row r="315">
      <c r="A315" s="21">
        <v>315.0</v>
      </c>
      <c r="B315" s="21" t="s">
        <v>334</v>
      </c>
      <c r="C315" s="21" t="s">
        <v>326</v>
      </c>
      <c r="D315" s="21" t="s">
        <v>20</v>
      </c>
    </row>
    <row r="316">
      <c r="A316" s="21">
        <v>316.0</v>
      </c>
      <c r="B316" s="21" t="s">
        <v>335</v>
      </c>
      <c r="C316" s="21" t="s">
        <v>326</v>
      </c>
      <c r="D316" s="21" t="s">
        <v>20</v>
      </c>
    </row>
    <row r="317">
      <c r="A317" s="21">
        <v>317.0</v>
      </c>
      <c r="B317" s="21" t="s">
        <v>336</v>
      </c>
      <c r="C317" s="21" t="s">
        <v>326</v>
      </c>
      <c r="D317" s="21" t="s">
        <v>20</v>
      </c>
      <c r="E317" s="22">
        <v>1.0</v>
      </c>
    </row>
    <row r="318">
      <c r="A318" s="21">
        <v>318.0</v>
      </c>
      <c r="B318" s="21" t="s">
        <v>337</v>
      </c>
      <c r="C318" s="21" t="s">
        <v>326</v>
      </c>
      <c r="D318" s="21" t="s">
        <v>20</v>
      </c>
    </row>
    <row r="319">
      <c r="A319" s="21">
        <v>319.0</v>
      </c>
      <c r="B319" s="21" t="s">
        <v>338</v>
      </c>
      <c r="C319" s="21" t="s">
        <v>326</v>
      </c>
      <c r="D319" s="21"/>
    </row>
    <row r="320">
      <c r="A320" s="21">
        <v>320.0</v>
      </c>
      <c r="B320" s="21" t="s">
        <v>339</v>
      </c>
      <c r="C320" s="21" t="s">
        <v>326</v>
      </c>
      <c r="D320" s="21"/>
    </row>
    <row r="321">
      <c r="A321" s="21">
        <v>321.0</v>
      </c>
      <c r="B321" s="21" t="s">
        <v>340</v>
      </c>
      <c r="C321" s="21" t="s">
        <v>326</v>
      </c>
      <c r="D321" s="21" t="s">
        <v>20</v>
      </c>
    </row>
    <row r="322">
      <c r="A322" s="21">
        <v>322.0</v>
      </c>
      <c r="B322" s="21" t="s">
        <v>341</v>
      </c>
      <c r="C322" s="21" t="s">
        <v>326</v>
      </c>
      <c r="D322" s="21" t="s">
        <v>20</v>
      </c>
    </row>
    <row r="323">
      <c r="A323" s="21">
        <v>323.0</v>
      </c>
      <c r="B323" s="21" t="s">
        <v>342</v>
      </c>
      <c r="C323" s="21" t="s">
        <v>326</v>
      </c>
      <c r="D323" s="21" t="s">
        <v>20</v>
      </c>
      <c r="E323" s="22">
        <v>1.0</v>
      </c>
    </row>
    <row r="324">
      <c r="A324" s="21">
        <v>324.0</v>
      </c>
      <c r="B324" s="21" t="s">
        <v>343</v>
      </c>
      <c r="C324" s="21" t="s">
        <v>326</v>
      </c>
      <c r="D324" s="21"/>
    </row>
    <row r="325">
      <c r="A325" s="21">
        <v>325.0</v>
      </c>
      <c r="B325" s="21" t="s">
        <v>18</v>
      </c>
      <c r="C325" s="21" t="s">
        <v>344</v>
      </c>
      <c r="D325" s="21"/>
    </row>
    <row r="326">
      <c r="A326" s="21">
        <v>326.0</v>
      </c>
      <c r="B326" s="21" t="s">
        <v>345</v>
      </c>
      <c r="C326" s="21" t="s">
        <v>344</v>
      </c>
      <c r="D326" s="21" t="s">
        <v>20</v>
      </c>
    </row>
    <row r="327">
      <c r="A327" s="21">
        <v>327.0</v>
      </c>
      <c r="B327" s="21" t="s">
        <v>346</v>
      </c>
      <c r="C327" s="21" t="s">
        <v>344</v>
      </c>
      <c r="D327" s="21" t="s">
        <v>20</v>
      </c>
    </row>
    <row r="328">
      <c r="A328" s="21">
        <v>328.0</v>
      </c>
      <c r="B328" s="21" t="s">
        <v>347</v>
      </c>
      <c r="C328" s="21" t="s">
        <v>344</v>
      </c>
      <c r="D328" s="21" t="s">
        <v>20</v>
      </c>
    </row>
    <row r="329">
      <c r="A329" s="21">
        <v>329.0</v>
      </c>
      <c r="B329" s="21" t="s">
        <v>348</v>
      </c>
      <c r="C329" s="21" t="s">
        <v>344</v>
      </c>
      <c r="D329" s="21" t="s">
        <v>20</v>
      </c>
    </row>
    <row r="330">
      <c r="A330" s="21">
        <v>330.0</v>
      </c>
      <c r="B330" s="21" t="s">
        <v>349</v>
      </c>
      <c r="C330" s="21" t="s">
        <v>344</v>
      </c>
      <c r="D330" s="21" t="s">
        <v>20</v>
      </c>
      <c r="E330" s="22">
        <v>1.0</v>
      </c>
    </row>
    <row r="331">
      <c r="A331" s="21">
        <v>331.0</v>
      </c>
      <c r="B331" s="21" t="s">
        <v>350</v>
      </c>
      <c r="C331" s="21" t="s">
        <v>344</v>
      </c>
      <c r="D331" s="21" t="s">
        <v>20</v>
      </c>
    </row>
    <row r="332">
      <c r="A332" s="21">
        <v>332.0</v>
      </c>
      <c r="B332" s="21" t="s">
        <v>351</v>
      </c>
      <c r="C332" s="21" t="s">
        <v>344</v>
      </c>
      <c r="D332" s="21" t="s">
        <v>20</v>
      </c>
    </row>
    <row r="333">
      <c r="A333" s="21">
        <v>333.0</v>
      </c>
      <c r="B333" s="21" t="s">
        <v>352</v>
      </c>
      <c r="C333" s="21" t="s">
        <v>344</v>
      </c>
      <c r="D333" s="21" t="s">
        <v>20</v>
      </c>
      <c r="E333" s="22">
        <v>1.0</v>
      </c>
    </row>
    <row r="334">
      <c r="A334" s="21">
        <v>334.0</v>
      </c>
      <c r="B334" s="21" t="s">
        <v>353</v>
      </c>
      <c r="C334" s="21" t="s">
        <v>344</v>
      </c>
      <c r="D334" s="21" t="s">
        <v>20</v>
      </c>
    </row>
    <row r="335">
      <c r="A335" s="21">
        <v>335.0</v>
      </c>
      <c r="B335" s="21" t="s">
        <v>354</v>
      </c>
      <c r="C335" s="21" t="s">
        <v>344</v>
      </c>
      <c r="D335" s="21" t="s">
        <v>20</v>
      </c>
    </row>
    <row r="336">
      <c r="A336" s="21">
        <v>336.0</v>
      </c>
      <c r="B336" s="21" t="s">
        <v>355</v>
      </c>
      <c r="C336" s="21" t="s">
        <v>344</v>
      </c>
      <c r="D336" s="21" t="s">
        <v>20</v>
      </c>
    </row>
    <row r="337">
      <c r="A337" s="21">
        <v>337.0</v>
      </c>
      <c r="B337" s="21" t="s">
        <v>356</v>
      </c>
      <c r="C337" s="21" t="s">
        <v>344</v>
      </c>
      <c r="D337" s="21"/>
    </row>
    <row r="338">
      <c r="A338" s="21">
        <v>338.0</v>
      </c>
      <c r="B338" s="21" t="s">
        <v>357</v>
      </c>
      <c r="C338" s="21" t="s">
        <v>344</v>
      </c>
      <c r="D338" s="21" t="s">
        <v>20</v>
      </c>
      <c r="E338" s="22">
        <v>1.0</v>
      </c>
    </row>
    <row r="339">
      <c r="A339" s="21">
        <v>339.0</v>
      </c>
      <c r="B339" s="21" t="s">
        <v>358</v>
      </c>
      <c r="C339" s="21" t="s">
        <v>344</v>
      </c>
      <c r="D339" s="21"/>
    </row>
    <row r="340">
      <c r="A340" s="21">
        <v>340.0</v>
      </c>
      <c r="B340" s="21" t="s">
        <v>359</v>
      </c>
      <c r="C340" s="21" t="s">
        <v>344</v>
      </c>
      <c r="D340" s="21" t="s">
        <v>20</v>
      </c>
    </row>
    <row r="341">
      <c r="A341" s="21">
        <v>341.0</v>
      </c>
      <c r="B341" s="21" t="s">
        <v>360</v>
      </c>
      <c r="C341" s="21" t="s">
        <v>344</v>
      </c>
      <c r="D341" s="21" t="s">
        <v>20</v>
      </c>
    </row>
    <row r="342">
      <c r="A342" s="21">
        <v>342.0</v>
      </c>
      <c r="B342" s="21" t="s">
        <v>361</v>
      </c>
      <c r="C342" s="21" t="s">
        <v>344</v>
      </c>
      <c r="D342" s="21" t="s">
        <v>20</v>
      </c>
    </row>
    <row r="343">
      <c r="A343" s="21">
        <v>343.0</v>
      </c>
      <c r="B343" s="21" t="s">
        <v>18</v>
      </c>
      <c r="C343" s="21" t="s">
        <v>362</v>
      </c>
      <c r="D343" s="21" t="s">
        <v>20</v>
      </c>
      <c r="E343" s="22">
        <v>1.0</v>
      </c>
    </row>
    <row r="344">
      <c r="A344" s="21">
        <v>344.0</v>
      </c>
      <c r="B344" s="21" t="s">
        <v>363</v>
      </c>
      <c r="C344" s="21" t="s">
        <v>362</v>
      </c>
      <c r="D344" s="21" t="s">
        <v>20</v>
      </c>
    </row>
    <row r="345">
      <c r="A345" s="21">
        <v>345.0</v>
      </c>
      <c r="B345" s="21" t="s">
        <v>364</v>
      </c>
      <c r="C345" s="21" t="s">
        <v>362</v>
      </c>
      <c r="D345" s="21" t="s">
        <v>20</v>
      </c>
    </row>
    <row r="346">
      <c r="A346" s="21">
        <v>346.0</v>
      </c>
      <c r="B346" s="21" t="s">
        <v>365</v>
      </c>
      <c r="C346" s="21" t="s">
        <v>362</v>
      </c>
      <c r="D346" s="21" t="s">
        <v>20</v>
      </c>
    </row>
    <row r="347">
      <c r="A347" s="21">
        <v>347.0</v>
      </c>
      <c r="B347" s="21" t="s">
        <v>366</v>
      </c>
      <c r="C347" s="21" t="s">
        <v>362</v>
      </c>
      <c r="D347" s="21" t="s">
        <v>20</v>
      </c>
    </row>
    <row r="348">
      <c r="A348" s="21">
        <v>348.0</v>
      </c>
      <c r="B348" s="21" t="s">
        <v>367</v>
      </c>
      <c r="C348" s="21" t="s">
        <v>362</v>
      </c>
      <c r="D348" s="21"/>
    </row>
    <row r="349">
      <c r="A349" s="21">
        <v>349.0</v>
      </c>
      <c r="B349" s="21" t="s">
        <v>368</v>
      </c>
      <c r="C349" s="21" t="s">
        <v>362</v>
      </c>
      <c r="D349" s="21"/>
    </row>
    <row r="350">
      <c r="A350" s="21">
        <v>350.0</v>
      </c>
      <c r="B350" s="21" t="s">
        <v>369</v>
      </c>
      <c r="C350" s="21" t="s">
        <v>362</v>
      </c>
      <c r="D350" s="21"/>
    </row>
    <row r="351">
      <c r="A351" s="21">
        <v>351.0</v>
      </c>
      <c r="B351" s="21" t="s">
        <v>370</v>
      </c>
      <c r="C351" s="21" t="s">
        <v>362</v>
      </c>
      <c r="D351" s="21" t="s">
        <v>20</v>
      </c>
    </row>
    <row r="352">
      <c r="A352" s="21">
        <v>352.0</v>
      </c>
      <c r="B352" s="21" t="s">
        <v>371</v>
      </c>
      <c r="C352" s="21" t="s">
        <v>362</v>
      </c>
      <c r="D352" s="21" t="s">
        <v>20</v>
      </c>
      <c r="E352" s="22">
        <v>2.0</v>
      </c>
    </row>
    <row r="353">
      <c r="A353" s="21">
        <v>353.0</v>
      </c>
      <c r="B353" s="21" t="s">
        <v>372</v>
      </c>
      <c r="C353" s="21" t="s">
        <v>362</v>
      </c>
      <c r="D353" s="21" t="s">
        <v>20</v>
      </c>
    </row>
    <row r="354">
      <c r="A354" s="21">
        <v>354.0</v>
      </c>
      <c r="B354" s="21" t="s">
        <v>373</v>
      </c>
      <c r="C354" s="21" t="s">
        <v>362</v>
      </c>
      <c r="D354" s="21" t="s">
        <v>20</v>
      </c>
    </row>
    <row r="355">
      <c r="A355" s="21">
        <v>355.0</v>
      </c>
      <c r="B355" s="21" t="s">
        <v>374</v>
      </c>
      <c r="C355" s="21" t="s">
        <v>362</v>
      </c>
      <c r="D355" s="21" t="s">
        <v>20</v>
      </c>
    </row>
    <row r="356">
      <c r="A356" s="21">
        <v>356.0</v>
      </c>
      <c r="B356" s="21" t="s">
        <v>375</v>
      </c>
      <c r="C356" s="21" t="s">
        <v>362</v>
      </c>
      <c r="D356" s="21" t="s">
        <v>20</v>
      </c>
    </row>
    <row r="357">
      <c r="A357" s="21">
        <v>357.0</v>
      </c>
      <c r="B357" s="21" t="s">
        <v>376</v>
      </c>
      <c r="C357" s="21" t="s">
        <v>362</v>
      </c>
      <c r="D357" s="21"/>
    </row>
    <row r="358">
      <c r="A358" s="21">
        <v>358.0</v>
      </c>
      <c r="B358" s="21" t="s">
        <v>377</v>
      </c>
      <c r="C358" s="21" t="s">
        <v>362</v>
      </c>
      <c r="D358" s="21" t="s">
        <v>20</v>
      </c>
    </row>
    <row r="359">
      <c r="A359" s="21">
        <v>359.0</v>
      </c>
      <c r="B359" s="21" t="s">
        <v>378</v>
      </c>
      <c r="C359" s="21" t="s">
        <v>362</v>
      </c>
      <c r="D359" s="21"/>
    </row>
    <row r="360">
      <c r="A360" s="21">
        <v>360.0</v>
      </c>
      <c r="B360" s="21" t="s">
        <v>379</v>
      </c>
      <c r="C360" s="21" t="s">
        <v>362</v>
      </c>
      <c r="D360" s="21"/>
    </row>
    <row r="510">
      <c r="E510" s="21" t="s">
        <v>20</v>
      </c>
    </row>
  </sheetData>
  <conditionalFormatting sqref="A1:D360 E510">
    <cfRule type="expression" dxfId="0" priority="1">
      <formula>$D1="SI"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3" max="3" width="17.75"/>
  </cols>
  <sheetData>
    <row r="1">
      <c r="A1" s="21">
        <v>1.0</v>
      </c>
      <c r="B1" s="21" t="s">
        <v>380</v>
      </c>
      <c r="C1" s="21" t="s">
        <v>19</v>
      </c>
      <c r="D1" s="21" t="s">
        <v>20</v>
      </c>
    </row>
    <row r="2">
      <c r="A2" s="21">
        <v>19.0</v>
      </c>
      <c r="B2" s="21" t="s">
        <v>380</v>
      </c>
      <c r="C2" s="21" t="s">
        <v>38</v>
      </c>
      <c r="D2" s="21" t="s">
        <v>20</v>
      </c>
    </row>
    <row r="3">
      <c r="A3" s="21">
        <v>37.0</v>
      </c>
      <c r="B3" s="21" t="s">
        <v>380</v>
      </c>
      <c r="C3" s="21" t="s">
        <v>56</v>
      </c>
      <c r="D3" s="21" t="s">
        <v>20</v>
      </c>
    </row>
    <row r="4">
      <c r="A4" s="21">
        <v>55.0</v>
      </c>
      <c r="B4" s="21" t="s">
        <v>380</v>
      </c>
      <c r="C4" s="21" t="s">
        <v>74</v>
      </c>
      <c r="D4" s="21" t="s">
        <v>20</v>
      </c>
    </row>
    <row r="5">
      <c r="A5" s="21">
        <v>73.0</v>
      </c>
      <c r="B5" s="21" t="s">
        <v>380</v>
      </c>
      <c r="C5" s="21" t="s">
        <v>92</v>
      </c>
      <c r="D5" s="21" t="s">
        <v>20</v>
      </c>
    </row>
    <row r="6">
      <c r="A6" s="21">
        <v>91.0</v>
      </c>
      <c r="B6" s="21" t="s">
        <v>380</v>
      </c>
      <c r="C6" s="21" t="s">
        <v>110</v>
      </c>
      <c r="D6" s="21"/>
    </row>
    <row r="7">
      <c r="A7" s="21">
        <v>109.0</v>
      </c>
      <c r="B7" s="21" t="s">
        <v>380</v>
      </c>
      <c r="C7" s="21" t="s">
        <v>128</v>
      </c>
      <c r="D7" s="21" t="s">
        <v>20</v>
      </c>
    </row>
    <row r="8">
      <c r="A8" s="21">
        <v>127.0</v>
      </c>
      <c r="B8" s="21" t="s">
        <v>380</v>
      </c>
      <c r="C8" s="21" t="s">
        <v>146</v>
      </c>
      <c r="D8" s="21" t="s">
        <v>20</v>
      </c>
    </row>
    <row r="9">
      <c r="A9" s="21">
        <v>145.0</v>
      </c>
      <c r="B9" s="21" t="s">
        <v>380</v>
      </c>
      <c r="C9" s="21" t="s">
        <v>164</v>
      </c>
      <c r="D9" s="21" t="s">
        <v>20</v>
      </c>
    </row>
    <row r="10">
      <c r="A10" s="21">
        <v>163.0</v>
      </c>
      <c r="B10" s="21" t="s">
        <v>380</v>
      </c>
      <c r="C10" s="21" t="s">
        <v>182</v>
      </c>
      <c r="D10" s="21"/>
    </row>
    <row r="11">
      <c r="A11" s="21">
        <v>181.0</v>
      </c>
      <c r="B11" s="21" t="s">
        <v>380</v>
      </c>
      <c r="C11" s="21" t="s">
        <v>200</v>
      </c>
      <c r="D11" s="21"/>
    </row>
    <row r="12">
      <c r="A12" s="21">
        <v>199.0</v>
      </c>
      <c r="B12" s="21" t="s">
        <v>380</v>
      </c>
      <c r="C12" s="21" t="s">
        <v>218</v>
      </c>
      <c r="D12" s="21" t="s">
        <v>20</v>
      </c>
    </row>
    <row r="13">
      <c r="A13" s="21">
        <v>217.0</v>
      </c>
      <c r="B13" s="21" t="s">
        <v>380</v>
      </c>
      <c r="C13" s="21" t="s">
        <v>236</v>
      </c>
      <c r="D13" s="21"/>
    </row>
    <row r="14">
      <c r="A14" s="21">
        <v>235.0</v>
      </c>
      <c r="B14" s="21" t="s">
        <v>380</v>
      </c>
      <c r="C14" s="21" t="s">
        <v>254</v>
      </c>
      <c r="D14" s="21"/>
    </row>
    <row r="15">
      <c r="A15" s="21">
        <v>253.0</v>
      </c>
      <c r="B15" s="21" t="s">
        <v>380</v>
      </c>
      <c r="C15" s="21" t="s">
        <v>272</v>
      </c>
      <c r="D15" s="21" t="s">
        <v>20</v>
      </c>
    </row>
    <row r="16">
      <c r="A16" s="21">
        <v>271.0</v>
      </c>
      <c r="B16" s="21" t="s">
        <v>380</v>
      </c>
      <c r="C16" s="21" t="s">
        <v>290</v>
      </c>
      <c r="D16" s="21"/>
    </row>
    <row r="17">
      <c r="A17" s="21">
        <v>289.0</v>
      </c>
      <c r="B17" s="21" t="s">
        <v>380</v>
      </c>
      <c r="C17" s="21" t="s">
        <v>308</v>
      </c>
      <c r="D17" s="21" t="s">
        <v>20</v>
      </c>
    </row>
    <row r="18">
      <c r="A18" s="21">
        <v>307.0</v>
      </c>
      <c r="B18" s="21" t="s">
        <v>380</v>
      </c>
      <c r="C18" s="21" t="s">
        <v>326</v>
      </c>
      <c r="D18" s="21" t="s">
        <v>20</v>
      </c>
    </row>
    <row r="19">
      <c r="A19" s="21">
        <v>325.0</v>
      </c>
      <c r="B19" s="21" t="s">
        <v>380</v>
      </c>
      <c r="C19" s="21" t="s">
        <v>344</v>
      </c>
      <c r="D19" s="21" t="s">
        <v>20</v>
      </c>
    </row>
    <row r="20">
      <c r="A20" s="21">
        <v>343.0</v>
      </c>
      <c r="B20" s="21" t="s">
        <v>380</v>
      </c>
      <c r="C20" s="21" t="s">
        <v>362</v>
      </c>
      <c r="D20" s="21" t="s">
        <v>20</v>
      </c>
      <c r="E20" s="22">
        <v>1.0</v>
      </c>
    </row>
  </sheetData>
  <conditionalFormatting sqref="A1:D20">
    <cfRule type="expression" dxfId="0" priority="1">
      <formula>$D1="SI"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1">
      <c r="A1" s="21">
        <v>361.0</v>
      </c>
      <c r="B1" s="21" t="s">
        <v>19</v>
      </c>
      <c r="C1" s="21" t="s">
        <v>381</v>
      </c>
      <c r="D1" s="21"/>
    </row>
    <row r="2">
      <c r="A2" s="21">
        <v>362.0</v>
      </c>
      <c r="B2" s="21" t="s">
        <v>38</v>
      </c>
      <c r="C2" s="21" t="s">
        <v>381</v>
      </c>
      <c r="D2" s="21" t="s">
        <v>20</v>
      </c>
    </row>
    <row r="3">
      <c r="A3" s="21">
        <v>363.0</v>
      </c>
      <c r="B3" s="21" t="s">
        <v>56</v>
      </c>
      <c r="C3" s="21" t="s">
        <v>381</v>
      </c>
      <c r="D3" s="21" t="s">
        <v>20</v>
      </c>
    </row>
    <row r="4">
      <c r="A4" s="21">
        <v>364.0</v>
      </c>
      <c r="B4" s="21" t="s">
        <v>74</v>
      </c>
      <c r="C4" s="21" t="s">
        <v>381</v>
      </c>
      <c r="D4" s="21"/>
    </row>
    <row r="5">
      <c r="A5" s="21">
        <v>365.0</v>
      </c>
      <c r="B5" s="21" t="s">
        <v>92</v>
      </c>
      <c r="C5" s="21" t="s">
        <v>381</v>
      </c>
      <c r="D5" s="21"/>
    </row>
    <row r="6">
      <c r="A6" s="21">
        <v>366.0</v>
      </c>
      <c r="B6" s="21" t="s">
        <v>110</v>
      </c>
      <c r="C6" s="21" t="s">
        <v>381</v>
      </c>
      <c r="D6" s="21"/>
    </row>
    <row r="7">
      <c r="A7" s="21">
        <v>367.0</v>
      </c>
      <c r="B7" s="21" t="s">
        <v>128</v>
      </c>
      <c r="C7" s="21" t="s">
        <v>381</v>
      </c>
      <c r="D7" s="21"/>
    </row>
    <row r="8">
      <c r="A8" s="21">
        <v>368.0</v>
      </c>
      <c r="B8" s="21" t="s">
        <v>146</v>
      </c>
      <c r="C8" s="21" t="s">
        <v>381</v>
      </c>
      <c r="D8" s="21" t="s">
        <v>20</v>
      </c>
    </row>
    <row r="9">
      <c r="A9" s="21">
        <v>369.0</v>
      </c>
      <c r="B9" s="21" t="s">
        <v>164</v>
      </c>
      <c r="C9" s="21" t="s">
        <v>381</v>
      </c>
      <c r="D9" s="21" t="s">
        <v>20</v>
      </c>
      <c r="E9" s="22">
        <v>1.0</v>
      </c>
    </row>
    <row r="10">
      <c r="A10" s="21">
        <v>370.0</v>
      </c>
      <c r="B10" s="21" t="s">
        <v>182</v>
      </c>
      <c r="C10" s="21" t="s">
        <v>381</v>
      </c>
      <c r="D10" s="21" t="s">
        <v>20</v>
      </c>
    </row>
    <row r="11">
      <c r="A11" s="21">
        <v>371.0</v>
      </c>
      <c r="B11" s="21" t="s">
        <v>200</v>
      </c>
      <c r="C11" s="21" t="s">
        <v>381</v>
      </c>
      <c r="D11" s="21" t="s">
        <v>20</v>
      </c>
    </row>
    <row r="12">
      <c r="A12" s="21">
        <v>372.0</v>
      </c>
      <c r="B12" s="21" t="s">
        <v>218</v>
      </c>
      <c r="C12" s="21" t="s">
        <v>381</v>
      </c>
      <c r="D12" s="21"/>
    </row>
    <row r="13">
      <c r="A13" s="21">
        <v>373.0</v>
      </c>
      <c r="B13" s="21" t="s">
        <v>236</v>
      </c>
      <c r="C13" s="21" t="s">
        <v>381</v>
      </c>
      <c r="D13" s="21"/>
    </row>
    <row r="14">
      <c r="A14" s="21">
        <v>374.0</v>
      </c>
      <c r="B14" s="21" t="s">
        <v>254</v>
      </c>
      <c r="C14" s="21" t="s">
        <v>381</v>
      </c>
      <c r="D14" s="21" t="s">
        <v>20</v>
      </c>
    </row>
    <row r="15">
      <c r="A15" s="21">
        <v>375.0</v>
      </c>
      <c r="B15" s="21" t="s">
        <v>272</v>
      </c>
      <c r="C15" s="21" t="s">
        <v>381</v>
      </c>
      <c r="D15" s="21"/>
    </row>
    <row r="16">
      <c r="A16" s="21">
        <v>376.0</v>
      </c>
      <c r="B16" s="21" t="s">
        <v>290</v>
      </c>
      <c r="C16" s="21" t="s">
        <v>381</v>
      </c>
      <c r="D16" s="21"/>
    </row>
    <row r="17">
      <c r="A17" s="21">
        <v>377.0</v>
      </c>
      <c r="B17" s="21" t="s">
        <v>308</v>
      </c>
      <c r="C17" s="21" t="s">
        <v>381</v>
      </c>
      <c r="D17" s="21"/>
    </row>
    <row r="18">
      <c r="A18" s="21">
        <v>378.0</v>
      </c>
      <c r="B18" s="21" t="s">
        <v>326</v>
      </c>
      <c r="C18" s="21" t="s">
        <v>381</v>
      </c>
      <c r="D18" s="21"/>
    </row>
    <row r="19">
      <c r="A19" s="21">
        <v>379.0</v>
      </c>
      <c r="B19" s="21" t="s">
        <v>344</v>
      </c>
      <c r="C19" s="21" t="s">
        <v>381</v>
      </c>
      <c r="D19" s="21" t="s">
        <v>20</v>
      </c>
    </row>
    <row r="20">
      <c r="A20" s="21">
        <v>380.0</v>
      </c>
      <c r="B20" s="21" t="s">
        <v>362</v>
      </c>
      <c r="C20" s="21" t="s">
        <v>381</v>
      </c>
      <c r="D20" s="21"/>
    </row>
    <row r="21">
      <c r="A21" s="21"/>
      <c r="B21" s="21"/>
      <c r="C21" s="21"/>
      <c r="D21" s="21"/>
    </row>
    <row r="22">
      <c r="A22" s="21"/>
      <c r="B22" s="21"/>
      <c r="C22" s="21"/>
      <c r="D22" s="21"/>
    </row>
    <row r="23">
      <c r="A23" s="21"/>
      <c r="B23" s="21"/>
      <c r="C23" s="21"/>
      <c r="D23" s="21"/>
    </row>
    <row r="24">
      <c r="A24" s="21"/>
      <c r="B24" s="21"/>
      <c r="C24" s="21"/>
      <c r="D24" s="21"/>
    </row>
    <row r="25">
      <c r="A25" s="21"/>
      <c r="B25" s="21"/>
      <c r="C25" s="21"/>
      <c r="D25" s="21"/>
    </row>
    <row r="26">
      <c r="A26" s="21"/>
      <c r="B26" s="21"/>
      <c r="C26" s="21"/>
      <c r="D26" s="21"/>
    </row>
    <row r="27">
      <c r="A27" s="21"/>
      <c r="B27" s="21"/>
      <c r="C27" s="21"/>
      <c r="D27" s="21"/>
    </row>
    <row r="28">
      <c r="A28" s="21"/>
      <c r="B28" s="21"/>
      <c r="C28" s="21"/>
      <c r="D28" s="21"/>
    </row>
    <row r="29">
      <c r="A29" s="21"/>
      <c r="B29" s="21"/>
      <c r="C29" s="21"/>
      <c r="D29" s="21"/>
    </row>
    <row r="30">
      <c r="A30" s="21"/>
      <c r="B30" s="21"/>
      <c r="C30" s="21"/>
      <c r="D30" s="21"/>
    </row>
    <row r="31">
      <c r="A31" s="21"/>
      <c r="B31" s="21"/>
      <c r="C31" s="21"/>
      <c r="D31" s="21"/>
    </row>
    <row r="32">
      <c r="A32" s="21"/>
      <c r="B32" s="21"/>
      <c r="C32" s="21"/>
      <c r="D32" s="21"/>
    </row>
    <row r="33">
      <c r="A33" s="21"/>
      <c r="B33" s="21"/>
      <c r="C33" s="21"/>
      <c r="D33" s="21"/>
    </row>
    <row r="34">
      <c r="A34" s="21"/>
      <c r="B34" s="21"/>
      <c r="C34" s="21"/>
      <c r="D34" s="21"/>
    </row>
    <row r="35">
      <c r="A35" s="21"/>
      <c r="B35" s="21"/>
      <c r="C35" s="21"/>
      <c r="D35" s="21"/>
    </row>
    <row r="36">
      <c r="A36" s="21"/>
      <c r="B36" s="21"/>
      <c r="C36" s="21"/>
      <c r="D36" s="21"/>
    </row>
    <row r="37">
      <c r="A37" s="21"/>
      <c r="B37" s="21"/>
      <c r="C37" s="21"/>
      <c r="D37" s="21"/>
    </row>
    <row r="38">
      <c r="A38" s="21"/>
      <c r="B38" s="21"/>
      <c r="C38" s="21"/>
      <c r="D38" s="21"/>
    </row>
    <row r="39">
      <c r="A39" s="21"/>
      <c r="B39" s="21"/>
      <c r="C39" s="21"/>
      <c r="D39" s="21"/>
    </row>
    <row r="40">
      <c r="A40" s="21"/>
      <c r="B40" s="21"/>
      <c r="C40" s="21"/>
      <c r="D40" s="21"/>
    </row>
    <row r="41">
      <c r="A41" s="21"/>
      <c r="B41" s="21"/>
      <c r="C41" s="21"/>
      <c r="D41" s="21"/>
    </row>
    <row r="42">
      <c r="A42" s="21"/>
      <c r="B42" s="21"/>
      <c r="C42" s="21"/>
      <c r="D42" s="21"/>
    </row>
    <row r="43">
      <c r="A43" s="21"/>
      <c r="B43" s="21"/>
      <c r="C43" s="21"/>
      <c r="D43" s="21"/>
    </row>
    <row r="44">
      <c r="A44" s="21"/>
      <c r="B44" s="21"/>
      <c r="C44" s="21"/>
      <c r="D44" s="21"/>
    </row>
    <row r="45">
      <c r="A45" s="21"/>
      <c r="B45" s="21"/>
      <c r="C45" s="21"/>
      <c r="D45" s="21"/>
    </row>
    <row r="46">
      <c r="A46" s="21"/>
      <c r="B46" s="21"/>
      <c r="C46" s="21"/>
      <c r="D46" s="21"/>
    </row>
    <row r="47">
      <c r="A47" s="21"/>
      <c r="B47" s="21"/>
      <c r="C47" s="21"/>
      <c r="D47" s="21"/>
    </row>
    <row r="48">
      <c r="A48" s="21"/>
      <c r="B48" s="21"/>
      <c r="C48" s="21"/>
      <c r="D48" s="21"/>
    </row>
    <row r="49">
      <c r="A49" s="21"/>
      <c r="B49" s="21"/>
      <c r="C49" s="21"/>
      <c r="D49" s="21"/>
    </row>
    <row r="50">
      <c r="A50" s="21"/>
      <c r="B50" s="21"/>
      <c r="C50" s="21"/>
      <c r="D50" s="21"/>
    </row>
    <row r="51">
      <c r="A51" s="21"/>
      <c r="B51" s="21"/>
      <c r="C51" s="21"/>
      <c r="D51" s="21"/>
    </row>
    <row r="52">
      <c r="A52" s="21"/>
      <c r="B52" s="21"/>
      <c r="C52" s="21"/>
      <c r="D52" s="21"/>
    </row>
    <row r="53">
      <c r="A53" s="21"/>
      <c r="B53" s="21"/>
      <c r="C53" s="21"/>
      <c r="D53" s="21"/>
    </row>
    <row r="54">
      <c r="A54" s="21"/>
      <c r="B54" s="21"/>
      <c r="C54" s="21"/>
      <c r="D54" s="21"/>
    </row>
    <row r="55">
      <c r="A55" s="21"/>
      <c r="B55" s="21"/>
      <c r="C55" s="21"/>
      <c r="D55" s="21"/>
    </row>
    <row r="56">
      <c r="A56" s="21"/>
      <c r="B56" s="21"/>
      <c r="C56" s="21"/>
      <c r="D56" s="21"/>
    </row>
    <row r="57">
      <c r="A57" s="21"/>
      <c r="B57" s="21"/>
      <c r="C57" s="21"/>
      <c r="D57" s="21"/>
    </row>
    <row r="58">
      <c r="A58" s="21"/>
      <c r="B58" s="21"/>
      <c r="C58" s="21"/>
      <c r="D58" s="21"/>
    </row>
    <row r="59">
      <c r="A59" s="21"/>
      <c r="B59" s="21"/>
      <c r="C59" s="21"/>
      <c r="D59" s="21"/>
    </row>
    <row r="60">
      <c r="A60" s="21"/>
      <c r="B60" s="21"/>
      <c r="C60" s="21"/>
      <c r="D60" s="21"/>
    </row>
    <row r="61">
      <c r="A61" s="21"/>
      <c r="B61" s="21"/>
      <c r="C61" s="21"/>
      <c r="D61" s="21"/>
    </row>
    <row r="62">
      <c r="A62" s="21"/>
      <c r="B62" s="21"/>
      <c r="C62" s="21"/>
      <c r="D62" s="21"/>
    </row>
    <row r="63">
      <c r="A63" s="21"/>
      <c r="B63" s="21"/>
      <c r="C63" s="21"/>
      <c r="D63" s="21"/>
    </row>
    <row r="64">
      <c r="A64" s="21"/>
      <c r="B64" s="21"/>
      <c r="C64" s="21"/>
      <c r="D64" s="21"/>
    </row>
    <row r="65">
      <c r="A65" s="21"/>
      <c r="B65" s="21"/>
      <c r="C65" s="21"/>
      <c r="D65" s="21"/>
    </row>
    <row r="66">
      <c r="A66" s="21"/>
      <c r="B66" s="21"/>
      <c r="C66" s="21"/>
      <c r="D66" s="21"/>
    </row>
    <row r="67">
      <c r="A67" s="21"/>
      <c r="B67" s="21"/>
      <c r="C67" s="21"/>
      <c r="D67" s="21"/>
    </row>
    <row r="68">
      <c r="A68" s="21"/>
      <c r="B68" s="21"/>
      <c r="C68" s="21"/>
      <c r="D68" s="21"/>
    </row>
    <row r="69">
      <c r="A69" s="21"/>
      <c r="B69" s="21"/>
      <c r="C69" s="21"/>
      <c r="D69" s="21"/>
    </row>
    <row r="70">
      <c r="A70" s="21"/>
      <c r="B70" s="21"/>
      <c r="C70" s="21"/>
      <c r="D70" s="21"/>
    </row>
    <row r="71">
      <c r="A71" s="21"/>
      <c r="B71" s="21"/>
      <c r="C71" s="21"/>
      <c r="D71" s="21"/>
    </row>
    <row r="72">
      <c r="A72" s="21"/>
      <c r="B72" s="21"/>
      <c r="C72" s="21"/>
      <c r="D72" s="21"/>
    </row>
    <row r="73">
      <c r="A73" s="21"/>
      <c r="B73" s="21"/>
      <c r="C73" s="21"/>
      <c r="D73" s="21"/>
    </row>
    <row r="74">
      <c r="A74" s="21"/>
      <c r="B74" s="21"/>
      <c r="C74" s="21"/>
      <c r="D74" s="21"/>
    </row>
    <row r="75">
      <c r="A75" s="21"/>
      <c r="B75" s="21"/>
      <c r="C75" s="21"/>
      <c r="D75" s="21"/>
    </row>
    <row r="76">
      <c r="A76" s="21"/>
      <c r="B76" s="21"/>
      <c r="C76" s="21"/>
      <c r="D76" s="21"/>
    </row>
    <row r="77">
      <c r="A77" s="21"/>
      <c r="B77" s="21"/>
      <c r="C77" s="21"/>
      <c r="D77" s="21"/>
    </row>
    <row r="78">
      <c r="A78" s="21"/>
      <c r="B78" s="21"/>
      <c r="C78" s="21"/>
      <c r="D78" s="21"/>
    </row>
    <row r="79">
      <c r="A79" s="21"/>
      <c r="B79" s="21"/>
      <c r="C79" s="21"/>
      <c r="D79" s="21"/>
    </row>
    <row r="80">
      <c r="A80" s="21"/>
      <c r="B80" s="21"/>
      <c r="C80" s="21"/>
      <c r="D80" s="21"/>
    </row>
    <row r="81">
      <c r="A81" s="21"/>
      <c r="B81" s="21"/>
      <c r="C81" s="21"/>
      <c r="D81" s="21"/>
    </row>
    <row r="82">
      <c r="A82" s="21"/>
      <c r="B82" s="21"/>
      <c r="C82" s="21"/>
      <c r="D82" s="21"/>
    </row>
    <row r="83">
      <c r="A83" s="21"/>
      <c r="B83" s="21"/>
      <c r="C83" s="21"/>
      <c r="D83" s="21"/>
    </row>
    <row r="84">
      <c r="A84" s="21"/>
      <c r="B84" s="21"/>
      <c r="C84" s="21"/>
      <c r="D84" s="21"/>
    </row>
    <row r="85">
      <c r="A85" s="21"/>
      <c r="B85" s="21"/>
      <c r="C85" s="21"/>
      <c r="D85" s="21"/>
    </row>
    <row r="86">
      <c r="A86" s="21"/>
      <c r="B86" s="21"/>
      <c r="C86" s="21"/>
      <c r="D86" s="21"/>
    </row>
    <row r="87">
      <c r="A87" s="21"/>
      <c r="B87" s="21"/>
      <c r="C87" s="21"/>
      <c r="D87" s="21"/>
    </row>
    <row r="88">
      <c r="A88" s="21"/>
      <c r="B88" s="21"/>
      <c r="C88" s="21"/>
      <c r="D88" s="21"/>
    </row>
    <row r="89">
      <c r="A89" s="21"/>
      <c r="B89" s="21"/>
      <c r="C89" s="21"/>
      <c r="D89" s="21"/>
    </row>
    <row r="90">
      <c r="A90" s="21"/>
      <c r="B90" s="21"/>
      <c r="C90" s="21"/>
      <c r="D90" s="21"/>
    </row>
    <row r="91">
      <c r="A91" s="21"/>
      <c r="B91" s="21"/>
      <c r="C91" s="21"/>
      <c r="D91" s="21"/>
    </row>
    <row r="92">
      <c r="A92" s="21"/>
      <c r="B92" s="21"/>
      <c r="C92" s="21"/>
      <c r="D92" s="21"/>
    </row>
    <row r="93">
      <c r="A93" s="21"/>
      <c r="B93" s="21"/>
      <c r="C93" s="21"/>
      <c r="D93" s="21"/>
    </row>
    <row r="94">
      <c r="A94" s="21"/>
      <c r="B94" s="21"/>
      <c r="C94" s="21"/>
      <c r="D94" s="21"/>
    </row>
    <row r="95">
      <c r="A95" s="21"/>
      <c r="B95" s="21"/>
      <c r="C95" s="21"/>
      <c r="D95" s="21"/>
    </row>
    <row r="96">
      <c r="A96" s="21"/>
      <c r="B96" s="21"/>
      <c r="C96" s="21"/>
      <c r="D96" s="21"/>
    </row>
    <row r="97">
      <c r="A97" s="21"/>
      <c r="B97" s="21"/>
      <c r="C97" s="21"/>
      <c r="D97" s="21"/>
    </row>
    <row r="98">
      <c r="A98" s="21"/>
      <c r="B98" s="21"/>
      <c r="C98" s="21"/>
      <c r="D98" s="21"/>
    </row>
    <row r="99">
      <c r="A99" s="21"/>
      <c r="B99" s="21"/>
      <c r="C99" s="21"/>
      <c r="D99" s="21"/>
    </row>
    <row r="100">
      <c r="A100" s="21"/>
      <c r="B100" s="21"/>
      <c r="C100" s="21"/>
      <c r="D100" s="21"/>
    </row>
    <row r="101">
      <c r="A101" s="21"/>
      <c r="B101" s="21"/>
      <c r="C101" s="21"/>
      <c r="D101" s="21"/>
    </row>
    <row r="102">
      <c r="A102" s="21"/>
      <c r="B102" s="21"/>
      <c r="C102" s="21"/>
      <c r="D102" s="21"/>
    </row>
    <row r="103">
      <c r="A103" s="21"/>
      <c r="B103" s="21"/>
      <c r="C103" s="21"/>
      <c r="D103" s="21"/>
    </row>
    <row r="104">
      <c r="A104" s="21"/>
      <c r="B104" s="21"/>
      <c r="C104" s="21"/>
      <c r="D104" s="21"/>
    </row>
    <row r="105">
      <c r="A105" s="21"/>
      <c r="B105" s="21"/>
      <c r="C105" s="21"/>
      <c r="D105" s="21"/>
    </row>
    <row r="106">
      <c r="A106" s="21"/>
      <c r="B106" s="21"/>
      <c r="C106" s="21"/>
      <c r="D106" s="21"/>
    </row>
    <row r="107">
      <c r="A107" s="21"/>
      <c r="B107" s="21"/>
      <c r="C107" s="21"/>
      <c r="D107" s="21"/>
    </row>
    <row r="108">
      <c r="A108" s="21"/>
      <c r="B108" s="21"/>
      <c r="C108" s="21"/>
      <c r="D108" s="21"/>
    </row>
    <row r="109">
      <c r="A109" s="21"/>
      <c r="B109" s="21"/>
      <c r="C109" s="21"/>
      <c r="D109" s="21"/>
    </row>
    <row r="110">
      <c r="A110" s="21"/>
      <c r="B110" s="21"/>
      <c r="C110" s="21"/>
      <c r="D110" s="21"/>
    </row>
    <row r="111">
      <c r="A111" s="21"/>
      <c r="B111" s="21"/>
      <c r="C111" s="21"/>
      <c r="D111" s="21"/>
    </row>
    <row r="112">
      <c r="A112" s="21"/>
      <c r="B112" s="21"/>
      <c r="C112" s="21"/>
      <c r="D112" s="21"/>
    </row>
    <row r="113">
      <c r="A113" s="21"/>
      <c r="B113" s="21"/>
      <c r="C113" s="21"/>
      <c r="D113" s="21"/>
    </row>
    <row r="114">
      <c r="A114" s="21"/>
      <c r="B114" s="21"/>
      <c r="C114" s="21"/>
      <c r="D114" s="21"/>
    </row>
    <row r="115">
      <c r="A115" s="21"/>
      <c r="B115" s="21"/>
      <c r="C115" s="21"/>
      <c r="D115" s="21"/>
    </row>
    <row r="116">
      <c r="A116" s="21"/>
      <c r="B116" s="21"/>
      <c r="C116" s="21"/>
      <c r="D116" s="21"/>
    </row>
    <row r="117">
      <c r="A117" s="21"/>
      <c r="B117" s="21"/>
      <c r="C117" s="21"/>
      <c r="D117" s="21"/>
    </row>
    <row r="118">
      <c r="A118" s="21"/>
      <c r="B118" s="21"/>
      <c r="C118" s="21"/>
      <c r="D118" s="21"/>
    </row>
    <row r="119">
      <c r="A119" s="21"/>
      <c r="B119" s="21"/>
      <c r="C119" s="21"/>
      <c r="D119" s="21"/>
    </row>
    <row r="120">
      <c r="A120" s="21"/>
      <c r="B120" s="21"/>
      <c r="C120" s="21"/>
      <c r="D120" s="21"/>
    </row>
    <row r="121">
      <c r="A121" s="21"/>
      <c r="B121" s="21"/>
      <c r="C121" s="21"/>
      <c r="D121" s="21"/>
    </row>
    <row r="122">
      <c r="A122" s="21"/>
      <c r="B122" s="21"/>
      <c r="C122" s="21"/>
      <c r="D122" s="21"/>
    </row>
    <row r="123">
      <c r="A123" s="21"/>
      <c r="B123" s="21"/>
      <c r="C123" s="21"/>
      <c r="D123" s="21"/>
    </row>
    <row r="124">
      <c r="A124" s="21"/>
      <c r="B124" s="21"/>
      <c r="C124" s="21"/>
      <c r="D124" s="21"/>
    </row>
    <row r="125">
      <c r="A125" s="21"/>
      <c r="B125" s="21"/>
      <c r="C125" s="21"/>
      <c r="D125" s="21"/>
    </row>
    <row r="126">
      <c r="A126" s="21"/>
      <c r="B126" s="21"/>
      <c r="C126" s="21"/>
      <c r="D126" s="21"/>
    </row>
    <row r="127">
      <c r="A127" s="21"/>
      <c r="B127" s="21"/>
      <c r="C127" s="21"/>
      <c r="D127" s="21"/>
    </row>
    <row r="128">
      <c r="A128" s="21"/>
      <c r="B128" s="21"/>
      <c r="C128" s="21"/>
      <c r="D128" s="21"/>
    </row>
    <row r="129">
      <c r="A129" s="21"/>
      <c r="B129" s="21"/>
      <c r="C129" s="21"/>
      <c r="D129" s="21"/>
    </row>
    <row r="130">
      <c r="A130" s="21"/>
      <c r="B130" s="21"/>
      <c r="C130" s="21"/>
      <c r="D130" s="21"/>
    </row>
    <row r="131">
      <c r="A131" s="21"/>
      <c r="B131" s="21"/>
      <c r="C131" s="21"/>
      <c r="D131" s="21"/>
    </row>
    <row r="132">
      <c r="A132" s="21"/>
      <c r="B132" s="21"/>
      <c r="C132" s="21"/>
      <c r="D132" s="21"/>
    </row>
    <row r="133">
      <c r="A133" s="21"/>
      <c r="B133" s="21"/>
      <c r="C133" s="21"/>
      <c r="D133" s="21"/>
    </row>
    <row r="134">
      <c r="A134" s="21"/>
      <c r="B134" s="21"/>
      <c r="C134" s="21"/>
      <c r="D134" s="21"/>
    </row>
    <row r="135">
      <c r="A135" s="21"/>
      <c r="B135" s="21"/>
      <c r="C135" s="21"/>
      <c r="D135" s="21"/>
    </row>
    <row r="136">
      <c r="A136" s="21"/>
      <c r="B136" s="21"/>
      <c r="C136" s="21"/>
      <c r="D136" s="21"/>
    </row>
    <row r="137">
      <c r="A137" s="21"/>
      <c r="B137" s="21"/>
      <c r="C137" s="21"/>
      <c r="D137" s="21"/>
    </row>
    <row r="138">
      <c r="A138" s="21"/>
      <c r="B138" s="21"/>
      <c r="C138" s="21"/>
      <c r="D138" s="21"/>
    </row>
    <row r="139">
      <c r="A139" s="21"/>
      <c r="B139" s="21"/>
      <c r="C139" s="21"/>
      <c r="D139" s="21"/>
    </row>
    <row r="140">
      <c r="A140" s="21"/>
      <c r="B140" s="21"/>
      <c r="C140" s="21"/>
      <c r="D140" s="21"/>
    </row>
    <row r="141">
      <c r="A141" s="21"/>
      <c r="B141" s="21"/>
      <c r="C141" s="21"/>
      <c r="D141" s="21"/>
    </row>
    <row r="142">
      <c r="A142" s="21"/>
      <c r="B142" s="21"/>
      <c r="C142" s="21"/>
      <c r="D142" s="21"/>
    </row>
    <row r="143">
      <c r="A143" s="21"/>
      <c r="B143" s="21"/>
      <c r="C143" s="21"/>
      <c r="D143" s="21"/>
    </row>
    <row r="144">
      <c r="A144" s="21"/>
      <c r="B144" s="21"/>
      <c r="C144" s="21"/>
      <c r="D144" s="21"/>
    </row>
    <row r="145">
      <c r="A145" s="21"/>
      <c r="B145" s="21"/>
      <c r="C145" s="21"/>
      <c r="D145" s="21"/>
    </row>
    <row r="146">
      <c r="A146" s="21"/>
      <c r="B146" s="21"/>
      <c r="C146" s="21"/>
      <c r="D146" s="21"/>
    </row>
    <row r="147">
      <c r="A147" s="21"/>
      <c r="B147" s="21"/>
      <c r="C147" s="21"/>
      <c r="D147" s="21"/>
    </row>
    <row r="148">
      <c r="A148" s="21"/>
      <c r="B148" s="21"/>
      <c r="C148" s="21"/>
      <c r="D148" s="21"/>
    </row>
    <row r="149">
      <c r="A149" s="21"/>
      <c r="B149" s="21"/>
      <c r="C149" s="21"/>
      <c r="D149" s="21"/>
    </row>
    <row r="150">
      <c r="A150" s="21"/>
      <c r="B150" s="21"/>
      <c r="C150" s="21"/>
      <c r="D150" s="21"/>
    </row>
    <row r="151">
      <c r="A151" s="21"/>
      <c r="B151" s="21"/>
      <c r="C151" s="21"/>
      <c r="D151" s="21"/>
    </row>
    <row r="152">
      <c r="A152" s="21"/>
      <c r="B152" s="21"/>
      <c r="C152" s="21"/>
      <c r="D152" s="21"/>
    </row>
    <row r="153">
      <c r="A153" s="21"/>
      <c r="B153" s="21"/>
      <c r="C153" s="21"/>
      <c r="D153" s="21"/>
    </row>
    <row r="154">
      <c r="A154" s="21"/>
      <c r="B154" s="21"/>
      <c r="C154" s="21"/>
      <c r="D154" s="21"/>
    </row>
    <row r="155">
      <c r="A155" s="21"/>
      <c r="B155" s="21"/>
      <c r="C155" s="21"/>
      <c r="D155" s="21"/>
    </row>
    <row r="156">
      <c r="A156" s="21"/>
      <c r="B156" s="21"/>
      <c r="C156" s="21"/>
      <c r="D156" s="21"/>
    </row>
    <row r="157">
      <c r="A157" s="21"/>
      <c r="B157" s="21"/>
      <c r="C157" s="21"/>
      <c r="D157" s="21"/>
    </row>
    <row r="158">
      <c r="A158" s="21"/>
      <c r="B158" s="21"/>
      <c r="C158" s="21"/>
      <c r="D158" s="21"/>
    </row>
    <row r="159">
      <c r="A159" s="21"/>
      <c r="B159" s="21"/>
      <c r="C159" s="21"/>
      <c r="D159" s="21"/>
    </row>
    <row r="160">
      <c r="A160" s="21"/>
      <c r="B160" s="21"/>
      <c r="C160" s="21"/>
      <c r="D160" s="21"/>
    </row>
    <row r="161">
      <c r="A161" s="21"/>
      <c r="B161" s="21"/>
      <c r="C161" s="21"/>
      <c r="D161" s="21"/>
    </row>
    <row r="162">
      <c r="A162" s="21"/>
      <c r="B162" s="21"/>
      <c r="C162" s="21"/>
      <c r="D162" s="21"/>
    </row>
    <row r="163">
      <c r="A163" s="21"/>
      <c r="B163" s="21"/>
      <c r="C163" s="21"/>
      <c r="D163" s="21"/>
    </row>
    <row r="164">
      <c r="A164" s="21"/>
      <c r="B164" s="21"/>
      <c r="C164" s="21"/>
      <c r="D164" s="21"/>
    </row>
    <row r="165">
      <c r="A165" s="21"/>
      <c r="B165" s="21"/>
      <c r="C165" s="21"/>
      <c r="D165" s="21"/>
    </row>
    <row r="166">
      <c r="A166" s="21"/>
      <c r="B166" s="21"/>
      <c r="C166" s="21"/>
      <c r="D166" s="21"/>
    </row>
    <row r="167">
      <c r="A167" s="21"/>
      <c r="B167" s="21"/>
      <c r="C167" s="21"/>
      <c r="D167" s="21"/>
    </row>
    <row r="168">
      <c r="A168" s="21"/>
      <c r="B168" s="21"/>
      <c r="C168" s="21"/>
      <c r="D168" s="21"/>
    </row>
    <row r="169">
      <c r="A169" s="21"/>
      <c r="B169" s="21"/>
      <c r="C169" s="21"/>
      <c r="D169" s="21"/>
    </row>
    <row r="170">
      <c r="A170" s="21"/>
      <c r="B170" s="21"/>
      <c r="C170" s="21"/>
      <c r="D170" s="21"/>
    </row>
    <row r="171">
      <c r="A171" s="21"/>
      <c r="B171" s="21"/>
      <c r="C171" s="21"/>
      <c r="D171" s="21"/>
    </row>
    <row r="172">
      <c r="A172" s="21"/>
      <c r="B172" s="21"/>
      <c r="C172" s="21"/>
      <c r="D172" s="21"/>
    </row>
    <row r="173">
      <c r="A173" s="21"/>
      <c r="B173" s="21"/>
      <c r="C173" s="21"/>
      <c r="D173" s="21"/>
    </row>
    <row r="174">
      <c r="A174" s="21"/>
      <c r="B174" s="21"/>
      <c r="C174" s="21"/>
      <c r="D174" s="21"/>
    </row>
    <row r="175">
      <c r="A175" s="21"/>
      <c r="B175" s="21"/>
      <c r="C175" s="21"/>
      <c r="D175" s="21"/>
    </row>
    <row r="176">
      <c r="A176" s="21"/>
      <c r="B176" s="21"/>
      <c r="C176" s="21"/>
      <c r="D176" s="21"/>
    </row>
    <row r="177">
      <c r="A177" s="21"/>
      <c r="B177" s="21"/>
      <c r="C177" s="21"/>
      <c r="D177" s="21"/>
    </row>
    <row r="178">
      <c r="A178" s="21"/>
      <c r="B178" s="21"/>
      <c r="C178" s="21"/>
      <c r="D178" s="21"/>
    </row>
    <row r="179">
      <c r="A179" s="21"/>
      <c r="B179" s="21"/>
      <c r="C179" s="21"/>
      <c r="D179" s="21"/>
    </row>
    <row r="180">
      <c r="A180" s="21"/>
      <c r="B180" s="21"/>
      <c r="C180" s="21"/>
      <c r="D180" s="21"/>
    </row>
    <row r="181">
      <c r="A181" s="21"/>
      <c r="B181" s="21"/>
      <c r="C181" s="21"/>
      <c r="D181" s="21"/>
    </row>
    <row r="182">
      <c r="A182" s="21"/>
      <c r="B182" s="21"/>
      <c r="C182" s="21"/>
      <c r="D182" s="21"/>
    </row>
    <row r="183">
      <c r="A183" s="21"/>
      <c r="B183" s="21"/>
      <c r="C183" s="21"/>
      <c r="D183" s="21"/>
    </row>
    <row r="184">
      <c r="A184" s="21"/>
      <c r="B184" s="21"/>
      <c r="C184" s="21"/>
      <c r="D184" s="21"/>
    </row>
    <row r="185">
      <c r="A185" s="21"/>
      <c r="B185" s="21"/>
      <c r="C185" s="21"/>
      <c r="D185" s="21"/>
    </row>
    <row r="186">
      <c r="A186" s="21"/>
      <c r="B186" s="21"/>
      <c r="C186" s="21"/>
      <c r="D186" s="21"/>
    </row>
    <row r="187">
      <c r="A187" s="21"/>
      <c r="B187" s="21"/>
      <c r="C187" s="21"/>
      <c r="D187" s="21"/>
    </row>
    <row r="188">
      <c r="A188" s="21"/>
      <c r="B188" s="21"/>
      <c r="C188" s="21"/>
      <c r="D188" s="21"/>
    </row>
    <row r="189">
      <c r="A189" s="21"/>
      <c r="B189" s="21"/>
      <c r="C189" s="21"/>
      <c r="D189" s="21"/>
    </row>
    <row r="190">
      <c r="A190" s="21"/>
      <c r="B190" s="21"/>
      <c r="C190" s="21"/>
      <c r="D190" s="21"/>
    </row>
    <row r="191">
      <c r="A191" s="21"/>
      <c r="B191" s="21"/>
      <c r="C191" s="21"/>
      <c r="D191" s="21"/>
    </row>
    <row r="192">
      <c r="A192" s="21"/>
      <c r="B192" s="21"/>
      <c r="C192" s="21"/>
      <c r="D192" s="21"/>
    </row>
    <row r="193">
      <c r="A193" s="21"/>
      <c r="B193" s="21"/>
      <c r="C193" s="21"/>
      <c r="D193" s="21"/>
    </row>
    <row r="194">
      <c r="A194" s="21"/>
      <c r="B194" s="21"/>
      <c r="C194" s="21"/>
      <c r="D194" s="21"/>
    </row>
    <row r="195">
      <c r="A195" s="21"/>
      <c r="B195" s="21"/>
      <c r="C195" s="21"/>
      <c r="D195" s="21"/>
    </row>
    <row r="196">
      <c r="A196" s="21"/>
      <c r="B196" s="21"/>
      <c r="C196" s="21"/>
      <c r="D196" s="21"/>
    </row>
    <row r="197">
      <c r="A197" s="21"/>
      <c r="B197" s="21"/>
      <c r="C197" s="21"/>
      <c r="D197" s="21"/>
    </row>
    <row r="198">
      <c r="A198" s="21"/>
      <c r="B198" s="21"/>
      <c r="C198" s="21"/>
      <c r="D198" s="21"/>
    </row>
    <row r="199">
      <c r="A199" s="21"/>
      <c r="B199" s="21"/>
      <c r="C199" s="21"/>
      <c r="D199" s="21"/>
    </row>
    <row r="200">
      <c r="A200" s="21"/>
      <c r="B200" s="21"/>
      <c r="C200" s="21"/>
      <c r="D200" s="21"/>
    </row>
    <row r="201">
      <c r="A201" s="21"/>
      <c r="B201" s="21"/>
      <c r="C201" s="21"/>
      <c r="D201" s="21"/>
    </row>
    <row r="202">
      <c r="A202" s="21"/>
      <c r="B202" s="21"/>
      <c r="C202" s="21"/>
      <c r="D202" s="21"/>
    </row>
    <row r="203">
      <c r="A203" s="21"/>
      <c r="B203" s="21"/>
      <c r="C203" s="21"/>
      <c r="D203" s="21"/>
    </row>
    <row r="204">
      <c r="A204" s="21"/>
      <c r="B204" s="21"/>
      <c r="C204" s="21"/>
      <c r="D204" s="21"/>
    </row>
    <row r="205">
      <c r="A205" s="21"/>
      <c r="B205" s="21"/>
      <c r="C205" s="21"/>
      <c r="D205" s="21"/>
    </row>
    <row r="206">
      <c r="A206" s="21"/>
      <c r="B206" s="21"/>
      <c r="C206" s="21"/>
      <c r="D206" s="21"/>
    </row>
    <row r="207">
      <c r="A207" s="21"/>
      <c r="B207" s="21"/>
      <c r="C207" s="21"/>
      <c r="D207" s="21"/>
    </row>
    <row r="208">
      <c r="A208" s="21"/>
      <c r="B208" s="21"/>
      <c r="C208" s="21"/>
      <c r="D208" s="21"/>
    </row>
    <row r="209">
      <c r="A209" s="21"/>
      <c r="B209" s="21"/>
      <c r="C209" s="21"/>
      <c r="D209" s="21"/>
    </row>
    <row r="210">
      <c r="A210" s="21"/>
      <c r="B210" s="21"/>
      <c r="C210" s="21"/>
      <c r="D210" s="21"/>
    </row>
    <row r="211">
      <c r="A211" s="21"/>
      <c r="B211" s="21"/>
      <c r="C211" s="21"/>
      <c r="D211" s="21"/>
    </row>
    <row r="212">
      <c r="A212" s="21"/>
      <c r="B212" s="21"/>
      <c r="C212" s="21"/>
      <c r="D212" s="21"/>
    </row>
    <row r="213">
      <c r="A213" s="21"/>
      <c r="B213" s="21"/>
      <c r="C213" s="21"/>
      <c r="D213" s="21"/>
    </row>
    <row r="214">
      <c r="A214" s="21"/>
      <c r="B214" s="21"/>
      <c r="C214" s="21"/>
      <c r="D214" s="21"/>
    </row>
    <row r="215">
      <c r="A215" s="21"/>
      <c r="B215" s="21"/>
      <c r="C215" s="21"/>
      <c r="D215" s="21"/>
    </row>
    <row r="216">
      <c r="A216" s="21"/>
      <c r="B216" s="21"/>
      <c r="C216" s="21"/>
      <c r="D216" s="21"/>
    </row>
    <row r="217">
      <c r="A217" s="21"/>
      <c r="B217" s="21"/>
      <c r="C217" s="21"/>
      <c r="D217" s="21"/>
    </row>
    <row r="218">
      <c r="A218" s="21"/>
      <c r="B218" s="21"/>
      <c r="C218" s="21"/>
      <c r="D218" s="21"/>
    </row>
    <row r="219">
      <c r="A219" s="21"/>
      <c r="B219" s="21"/>
      <c r="C219" s="21"/>
      <c r="D219" s="21"/>
    </row>
    <row r="220">
      <c r="A220" s="21"/>
      <c r="B220" s="21"/>
      <c r="C220" s="21"/>
      <c r="D220" s="21"/>
    </row>
    <row r="221">
      <c r="A221" s="21"/>
      <c r="B221" s="21"/>
      <c r="C221" s="21"/>
      <c r="D221" s="21"/>
    </row>
    <row r="222">
      <c r="A222" s="21"/>
      <c r="B222" s="21"/>
      <c r="C222" s="21"/>
      <c r="D222" s="21"/>
    </row>
    <row r="223">
      <c r="A223" s="21"/>
      <c r="B223" s="21"/>
      <c r="C223" s="21"/>
      <c r="D223" s="21"/>
    </row>
    <row r="224">
      <c r="A224" s="21"/>
      <c r="B224" s="21"/>
      <c r="C224" s="21"/>
      <c r="D224" s="21"/>
    </row>
    <row r="225">
      <c r="A225" s="21"/>
      <c r="B225" s="21"/>
      <c r="C225" s="21"/>
      <c r="D225" s="21"/>
    </row>
    <row r="226">
      <c r="A226" s="21"/>
      <c r="B226" s="21"/>
      <c r="C226" s="21"/>
      <c r="D226" s="21"/>
    </row>
    <row r="227">
      <c r="A227" s="21"/>
      <c r="B227" s="21"/>
      <c r="C227" s="21"/>
      <c r="D227" s="21"/>
    </row>
    <row r="228">
      <c r="A228" s="21"/>
      <c r="B228" s="21"/>
      <c r="C228" s="21"/>
      <c r="D228" s="21"/>
    </row>
    <row r="229">
      <c r="A229" s="21"/>
      <c r="B229" s="21"/>
      <c r="C229" s="21"/>
      <c r="D229" s="21"/>
    </row>
    <row r="230">
      <c r="A230" s="21"/>
      <c r="B230" s="21"/>
      <c r="C230" s="21"/>
      <c r="D230" s="21"/>
    </row>
    <row r="231">
      <c r="A231" s="21"/>
      <c r="B231" s="21"/>
      <c r="C231" s="21"/>
      <c r="D231" s="21"/>
    </row>
    <row r="232">
      <c r="A232" s="21"/>
      <c r="B232" s="21"/>
      <c r="C232" s="21"/>
      <c r="D232" s="21"/>
    </row>
    <row r="233">
      <c r="A233" s="21"/>
      <c r="B233" s="21"/>
      <c r="C233" s="21"/>
      <c r="D233" s="21"/>
    </row>
    <row r="234">
      <c r="A234" s="21"/>
      <c r="B234" s="21"/>
      <c r="C234" s="21"/>
      <c r="D234" s="21"/>
    </row>
    <row r="235">
      <c r="A235" s="21"/>
      <c r="B235" s="21"/>
      <c r="C235" s="21"/>
      <c r="D235" s="21"/>
    </row>
    <row r="236">
      <c r="A236" s="21"/>
      <c r="B236" s="21"/>
      <c r="C236" s="21"/>
      <c r="D236" s="21"/>
    </row>
    <row r="237">
      <c r="A237" s="21"/>
      <c r="B237" s="21"/>
      <c r="C237" s="21"/>
      <c r="D237" s="21"/>
    </row>
    <row r="238">
      <c r="A238" s="21"/>
      <c r="B238" s="21"/>
      <c r="C238" s="21"/>
      <c r="D238" s="21"/>
    </row>
    <row r="239">
      <c r="A239" s="21"/>
      <c r="B239" s="21"/>
      <c r="C239" s="21"/>
      <c r="D239" s="21"/>
    </row>
    <row r="240">
      <c r="A240" s="21"/>
      <c r="B240" s="21"/>
      <c r="C240" s="21"/>
      <c r="D240" s="21"/>
    </row>
    <row r="241">
      <c r="A241" s="21"/>
      <c r="B241" s="21"/>
      <c r="C241" s="21"/>
      <c r="D241" s="21"/>
    </row>
    <row r="242">
      <c r="A242" s="21"/>
      <c r="B242" s="21"/>
      <c r="C242" s="21"/>
      <c r="D242" s="21"/>
    </row>
    <row r="243">
      <c r="A243" s="21"/>
      <c r="B243" s="21"/>
      <c r="C243" s="21"/>
      <c r="D243" s="21"/>
    </row>
    <row r="244">
      <c r="A244" s="21"/>
      <c r="B244" s="21"/>
      <c r="C244" s="21"/>
      <c r="D244" s="21"/>
    </row>
    <row r="245">
      <c r="A245" s="21"/>
      <c r="B245" s="21"/>
      <c r="C245" s="21"/>
      <c r="D245" s="21"/>
    </row>
    <row r="246">
      <c r="A246" s="21"/>
      <c r="B246" s="21"/>
      <c r="C246" s="21"/>
      <c r="D246" s="21"/>
    </row>
    <row r="247">
      <c r="A247" s="21"/>
      <c r="B247" s="21"/>
      <c r="C247" s="21"/>
      <c r="D247" s="21"/>
    </row>
    <row r="248">
      <c r="A248" s="21"/>
      <c r="B248" s="21"/>
      <c r="C248" s="21"/>
      <c r="D248" s="21"/>
    </row>
    <row r="249">
      <c r="A249" s="21"/>
      <c r="B249" s="21"/>
      <c r="C249" s="21"/>
      <c r="D249" s="21"/>
    </row>
    <row r="250">
      <c r="A250" s="21"/>
      <c r="B250" s="21"/>
      <c r="C250" s="21"/>
      <c r="D250" s="21"/>
    </row>
    <row r="251">
      <c r="A251" s="21"/>
      <c r="B251" s="21"/>
      <c r="C251" s="21"/>
      <c r="D251" s="21"/>
    </row>
    <row r="252">
      <c r="A252" s="21"/>
      <c r="B252" s="21"/>
      <c r="C252" s="21"/>
      <c r="D252" s="21"/>
    </row>
    <row r="253">
      <c r="A253" s="21"/>
      <c r="B253" s="21"/>
      <c r="C253" s="21"/>
      <c r="D253" s="21"/>
    </row>
    <row r="254">
      <c r="A254" s="21"/>
      <c r="B254" s="21"/>
      <c r="C254" s="21"/>
      <c r="D254" s="21"/>
    </row>
    <row r="255">
      <c r="A255" s="21"/>
      <c r="B255" s="21"/>
      <c r="C255" s="21"/>
      <c r="D255" s="21"/>
    </row>
    <row r="256">
      <c r="A256" s="21"/>
      <c r="B256" s="21"/>
      <c r="C256" s="21"/>
      <c r="D256" s="21"/>
    </row>
    <row r="257">
      <c r="A257" s="21"/>
      <c r="B257" s="21"/>
      <c r="C257" s="21"/>
      <c r="D257" s="21"/>
    </row>
    <row r="258">
      <c r="A258" s="21"/>
      <c r="B258" s="21"/>
      <c r="C258" s="21"/>
      <c r="D258" s="21"/>
    </row>
    <row r="259">
      <c r="A259" s="21"/>
      <c r="B259" s="21"/>
      <c r="C259" s="21"/>
      <c r="D259" s="21"/>
    </row>
    <row r="260">
      <c r="A260" s="21"/>
      <c r="B260" s="21"/>
      <c r="C260" s="21"/>
      <c r="D260" s="21"/>
    </row>
    <row r="261">
      <c r="A261" s="21"/>
      <c r="B261" s="21"/>
      <c r="C261" s="21"/>
      <c r="D261" s="21"/>
    </row>
    <row r="262">
      <c r="A262" s="21"/>
      <c r="B262" s="21"/>
      <c r="C262" s="21"/>
      <c r="D262" s="21"/>
    </row>
    <row r="263">
      <c r="A263" s="21"/>
      <c r="B263" s="21"/>
      <c r="C263" s="21"/>
      <c r="D263" s="21"/>
    </row>
    <row r="264">
      <c r="A264" s="21"/>
      <c r="B264" s="21"/>
      <c r="C264" s="21"/>
      <c r="D264" s="21"/>
    </row>
    <row r="265">
      <c r="A265" s="21"/>
      <c r="B265" s="21"/>
      <c r="C265" s="21"/>
      <c r="D265" s="21"/>
    </row>
    <row r="266">
      <c r="A266" s="21"/>
      <c r="B266" s="21"/>
      <c r="C266" s="21"/>
      <c r="D266" s="21"/>
    </row>
    <row r="267">
      <c r="A267" s="21"/>
      <c r="B267" s="21"/>
      <c r="C267" s="21"/>
      <c r="D267" s="21"/>
    </row>
    <row r="268">
      <c r="A268" s="21"/>
      <c r="B268" s="21"/>
      <c r="C268" s="21"/>
      <c r="D268" s="21"/>
    </row>
    <row r="269">
      <c r="A269" s="21"/>
      <c r="B269" s="21"/>
      <c r="C269" s="21"/>
      <c r="D269" s="21"/>
    </row>
    <row r="270">
      <c r="A270" s="21"/>
      <c r="B270" s="21"/>
      <c r="C270" s="21"/>
      <c r="D270" s="21"/>
    </row>
    <row r="271">
      <c r="A271" s="21"/>
      <c r="B271" s="21"/>
      <c r="C271" s="21"/>
      <c r="D271" s="21"/>
    </row>
    <row r="272">
      <c r="A272" s="21"/>
      <c r="B272" s="21"/>
      <c r="C272" s="21"/>
      <c r="D272" s="21"/>
    </row>
    <row r="273">
      <c r="A273" s="21"/>
      <c r="B273" s="21"/>
      <c r="C273" s="21"/>
      <c r="D273" s="21"/>
    </row>
    <row r="274">
      <c r="A274" s="21"/>
      <c r="B274" s="21"/>
      <c r="C274" s="21"/>
      <c r="D274" s="21"/>
    </row>
    <row r="275">
      <c r="A275" s="21"/>
      <c r="B275" s="21"/>
      <c r="C275" s="21"/>
      <c r="D275" s="21"/>
    </row>
    <row r="276">
      <c r="A276" s="21"/>
      <c r="B276" s="21"/>
      <c r="C276" s="21"/>
      <c r="D276" s="21"/>
    </row>
    <row r="277">
      <c r="A277" s="21"/>
      <c r="B277" s="21"/>
      <c r="C277" s="21"/>
      <c r="D277" s="21"/>
    </row>
    <row r="278">
      <c r="A278" s="21"/>
      <c r="B278" s="21"/>
      <c r="C278" s="21"/>
      <c r="D278" s="21"/>
    </row>
    <row r="279">
      <c r="A279" s="21"/>
      <c r="B279" s="21"/>
      <c r="C279" s="21"/>
      <c r="D279" s="21"/>
    </row>
    <row r="280">
      <c r="A280" s="21"/>
      <c r="B280" s="21"/>
      <c r="C280" s="21"/>
      <c r="D280" s="21"/>
    </row>
    <row r="281">
      <c r="A281" s="21"/>
      <c r="B281" s="21"/>
      <c r="C281" s="21"/>
      <c r="D281" s="21"/>
    </row>
    <row r="282">
      <c r="A282" s="21"/>
      <c r="B282" s="21"/>
      <c r="C282" s="21"/>
      <c r="D282" s="21"/>
    </row>
    <row r="283">
      <c r="A283" s="21"/>
      <c r="B283" s="21"/>
      <c r="C283" s="21"/>
      <c r="D283" s="21"/>
    </row>
    <row r="284">
      <c r="A284" s="21"/>
      <c r="B284" s="21"/>
      <c r="C284" s="21"/>
      <c r="D284" s="21"/>
    </row>
    <row r="285">
      <c r="A285" s="21"/>
      <c r="B285" s="21"/>
      <c r="C285" s="21"/>
      <c r="D285" s="21"/>
    </row>
    <row r="286">
      <c r="A286" s="21"/>
      <c r="B286" s="21"/>
      <c r="C286" s="21"/>
      <c r="D286" s="21"/>
    </row>
    <row r="287">
      <c r="A287" s="21"/>
      <c r="B287" s="21"/>
      <c r="C287" s="21"/>
      <c r="D287" s="21"/>
    </row>
    <row r="288">
      <c r="A288" s="21"/>
      <c r="B288" s="21"/>
      <c r="C288" s="21"/>
      <c r="D288" s="21"/>
    </row>
    <row r="289">
      <c r="A289" s="21"/>
      <c r="B289" s="21"/>
      <c r="C289" s="21"/>
      <c r="D289" s="21"/>
    </row>
    <row r="290">
      <c r="A290" s="21"/>
      <c r="B290" s="21"/>
      <c r="C290" s="21"/>
      <c r="D290" s="21"/>
    </row>
    <row r="291">
      <c r="A291" s="21"/>
      <c r="B291" s="21"/>
      <c r="C291" s="21"/>
      <c r="D291" s="21"/>
    </row>
    <row r="292">
      <c r="A292" s="21"/>
      <c r="B292" s="21"/>
      <c r="C292" s="21"/>
      <c r="D292" s="21"/>
    </row>
    <row r="293">
      <c r="A293" s="21"/>
      <c r="B293" s="21"/>
      <c r="C293" s="21"/>
      <c r="D293" s="21"/>
    </row>
    <row r="294">
      <c r="A294" s="21"/>
      <c r="B294" s="21"/>
      <c r="C294" s="21"/>
      <c r="D294" s="21"/>
    </row>
    <row r="295">
      <c r="A295" s="21"/>
      <c r="B295" s="21"/>
      <c r="C295" s="21"/>
      <c r="D295" s="21"/>
    </row>
    <row r="296">
      <c r="A296" s="21"/>
      <c r="B296" s="21"/>
      <c r="C296" s="21"/>
      <c r="D296" s="21"/>
    </row>
    <row r="297">
      <c r="A297" s="21"/>
      <c r="B297" s="21"/>
      <c r="C297" s="21"/>
      <c r="D297" s="21"/>
    </row>
    <row r="298">
      <c r="A298" s="21"/>
      <c r="B298" s="21"/>
      <c r="C298" s="21"/>
      <c r="D298" s="21"/>
    </row>
    <row r="299">
      <c r="A299" s="21"/>
      <c r="B299" s="21"/>
      <c r="C299" s="21"/>
      <c r="D299" s="21"/>
    </row>
    <row r="300">
      <c r="A300" s="21"/>
      <c r="B300" s="21"/>
      <c r="C300" s="21"/>
      <c r="D300" s="21"/>
    </row>
    <row r="301">
      <c r="A301" s="21"/>
      <c r="B301" s="21"/>
      <c r="C301" s="21"/>
      <c r="D301" s="21"/>
    </row>
    <row r="302">
      <c r="A302" s="21"/>
      <c r="B302" s="21"/>
      <c r="C302" s="21"/>
      <c r="D302" s="21"/>
    </row>
    <row r="303">
      <c r="A303" s="21"/>
      <c r="B303" s="21"/>
      <c r="C303" s="21"/>
      <c r="D303" s="21"/>
    </row>
    <row r="304">
      <c r="A304" s="21"/>
      <c r="B304" s="21"/>
      <c r="C304" s="21"/>
      <c r="D304" s="21"/>
    </row>
    <row r="305">
      <c r="A305" s="21"/>
      <c r="B305" s="21"/>
      <c r="C305" s="21"/>
      <c r="D305" s="21"/>
    </row>
    <row r="306">
      <c r="A306" s="21"/>
      <c r="B306" s="21"/>
      <c r="C306" s="21"/>
      <c r="D306" s="21"/>
    </row>
    <row r="307">
      <c r="A307" s="21"/>
      <c r="B307" s="21"/>
      <c r="C307" s="21"/>
      <c r="D307" s="21"/>
    </row>
    <row r="308">
      <c r="A308" s="21"/>
      <c r="B308" s="21"/>
      <c r="C308" s="21"/>
      <c r="D308" s="21"/>
    </row>
    <row r="309">
      <c r="A309" s="21"/>
      <c r="B309" s="21"/>
      <c r="C309" s="21"/>
      <c r="D309" s="21"/>
    </row>
    <row r="310">
      <c r="A310" s="21"/>
      <c r="B310" s="21"/>
      <c r="C310" s="21"/>
      <c r="D310" s="21"/>
    </row>
    <row r="311">
      <c r="A311" s="21"/>
      <c r="B311" s="21"/>
      <c r="C311" s="21"/>
      <c r="D311" s="21"/>
    </row>
    <row r="312">
      <c r="A312" s="21"/>
      <c r="B312" s="21"/>
      <c r="C312" s="21"/>
      <c r="D312" s="21"/>
    </row>
    <row r="313">
      <c r="A313" s="21"/>
      <c r="B313" s="21"/>
      <c r="C313" s="21"/>
      <c r="D313" s="21"/>
    </row>
    <row r="314">
      <c r="A314" s="21"/>
      <c r="B314" s="21"/>
      <c r="C314" s="21"/>
      <c r="D314" s="21"/>
    </row>
    <row r="315">
      <c r="A315" s="21"/>
      <c r="B315" s="21"/>
      <c r="C315" s="21"/>
      <c r="D315" s="21"/>
    </row>
    <row r="316">
      <c r="A316" s="21"/>
      <c r="B316" s="21"/>
      <c r="C316" s="21"/>
      <c r="D316" s="21"/>
    </row>
    <row r="317">
      <c r="A317" s="21"/>
      <c r="B317" s="21"/>
      <c r="C317" s="21"/>
      <c r="D317" s="21"/>
    </row>
    <row r="318">
      <c r="A318" s="21"/>
      <c r="B318" s="21"/>
      <c r="C318" s="21"/>
      <c r="D318" s="21"/>
    </row>
    <row r="319">
      <c r="A319" s="21"/>
      <c r="B319" s="21"/>
      <c r="C319" s="21"/>
      <c r="D319" s="21"/>
    </row>
    <row r="320">
      <c r="A320" s="21"/>
      <c r="B320" s="21"/>
      <c r="C320" s="21"/>
      <c r="D320" s="21"/>
    </row>
    <row r="321">
      <c r="A321" s="21"/>
      <c r="B321" s="21"/>
      <c r="C321" s="21"/>
      <c r="D321" s="21"/>
    </row>
    <row r="322">
      <c r="A322" s="21"/>
      <c r="B322" s="21"/>
      <c r="C322" s="21"/>
      <c r="D322" s="21"/>
    </row>
    <row r="323">
      <c r="A323" s="21"/>
      <c r="B323" s="21"/>
      <c r="C323" s="21"/>
      <c r="D323" s="21"/>
    </row>
    <row r="324">
      <c r="A324" s="21"/>
      <c r="B324" s="21"/>
      <c r="C324" s="21"/>
      <c r="D324" s="21"/>
    </row>
    <row r="325">
      <c r="A325" s="21"/>
      <c r="B325" s="21"/>
      <c r="C325" s="21"/>
      <c r="D325" s="21"/>
    </row>
    <row r="326">
      <c r="A326" s="21"/>
      <c r="B326" s="21"/>
      <c r="C326" s="21"/>
      <c r="D326" s="21"/>
    </row>
    <row r="327">
      <c r="A327" s="21"/>
      <c r="B327" s="21"/>
      <c r="C327" s="21"/>
      <c r="D327" s="21"/>
    </row>
    <row r="328">
      <c r="A328" s="21"/>
      <c r="B328" s="21"/>
      <c r="C328" s="21"/>
      <c r="D328" s="21"/>
    </row>
    <row r="329">
      <c r="A329" s="21"/>
      <c r="B329" s="21"/>
      <c r="C329" s="21"/>
      <c r="D329" s="21"/>
    </row>
    <row r="330">
      <c r="A330" s="21"/>
      <c r="B330" s="21"/>
      <c r="C330" s="21"/>
      <c r="D330" s="21"/>
    </row>
    <row r="331">
      <c r="A331" s="21"/>
      <c r="B331" s="21"/>
      <c r="C331" s="21"/>
      <c r="D331" s="21"/>
    </row>
    <row r="332">
      <c r="A332" s="21"/>
      <c r="B332" s="21"/>
      <c r="C332" s="21"/>
      <c r="D332" s="21"/>
    </row>
    <row r="333">
      <c r="A333" s="21"/>
      <c r="B333" s="21"/>
      <c r="C333" s="21"/>
      <c r="D333" s="21"/>
    </row>
    <row r="334">
      <c r="A334" s="21"/>
      <c r="B334" s="21"/>
      <c r="C334" s="21"/>
      <c r="D334" s="21"/>
    </row>
    <row r="335">
      <c r="A335" s="21"/>
      <c r="B335" s="21"/>
      <c r="C335" s="21"/>
      <c r="D335" s="21"/>
    </row>
    <row r="336">
      <c r="A336" s="21"/>
      <c r="B336" s="21"/>
      <c r="C336" s="21"/>
      <c r="D336" s="21"/>
    </row>
    <row r="337">
      <c r="A337" s="21"/>
      <c r="B337" s="21"/>
      <c r="C337" s="21"/>
      <c r="D337" s="21"/>
    </row>
    <row r="338">
      <c r="A338" s="21"/>
      <c r="B338" s="21"/>
      <c r="C338" s="21"/>
      <c r="D338" s="21"/>
    </row>
    <row r="339">
      <c r="A339" s="21"/>
      <c r="B339" s="21"/>
      <c r="C339" s="21"/>
      <c r="D339" s="21"/>
    </row>
    <row r="340">
      <c r="A340" s="21"/>
      <c r="B340" s="21"/>
      <c r="C340" s="21"/>
      <c r="D340" s="21"/>
    </row>
    <row r="341">
      <c r="A341" s="21"/>
      <c r="B341" s="21"/>
      <c r="C341" s="21"/>
      <c r="D341" s="21"/>
    </row>
    <row r="342">
      <c r="A342" s="21"/>
      <c r="B342" s="21"/>
      <c r="C342" s="21"/>
      <c r="D342" s="21"/>
    </row>
    <row r="343">
      <c r="A343" s="21"/>
      <c r="B343" s="21"/>
      <c r="C343" s="21"/>
      <c r="D343" s="21"/>
    </row>
    <row r="344">
      <c r="A344" s="21"/>
      <c r="B344" s="21"/>
      <c r="C344" s="21"/>
      <c r="D344" s="21"/>
    </row>
    <row r="345">
      <c r="A345" s="21"/>
      <c r="B345" s="21"/>
      <c r="C345" s="21"/>
      <c r="D345" s="21"/>
    </row>
    <row r="346">
      <c r="A346" s="21"/>
      <c r="B346" s="21"/>
      <c r="C346" s="21"/>
      <c r="D346" s="21"/>
    </row>
    <row r="347">
      <c r="A347" s="21"/>
      <c r="B347" s="21"/>
      <c r="C347" s="21"/>
      <c r="D347" s="21"/>
    </row>
    <row r="348">
      <c r="A348" s="21"/>
      <c r="B348" s="21"/>
      <c r="C348" s="21"/>
      <c r="D348" s="21"/>
    </row>
    <row r="349">
      <c r="A349" s="21"/>
      <c r="B349" s="21"/>
      <c r="C349" s="21"/>
      <c r="D349" s="21"/>
    </row>
    <row r="350">
      <c r="A350" s="21"/>
      <c r="B350" s="21"/>
      <c r="C350" s="21"/>
      <c r="D350" s="21"/>
    </row>
    <row r="351">
      <c r="A351" s="21"/>
      <c r="B351" s="21"/>
      <c r="C351" s="21"/>
      <c r="D351" s="21"/>
    </row>
    <row r="352">
      <c r="A352" s="21"/>
      <c r="B352" s="21"/>
      <c r="C352" s="21"/>
      <c r="D352" s="21"/>
    </row>
    <row r="353">
      <c r="A353" s="21"/>
      <c r="B353" s="21"/>
      <c r="C353" s="21"/>
      <c r="D353" s="21"/>
    </row>
    <row r="354">
      <c r="A354" s="21"/>
      <c r="B354" s="21"/>
      <c r="C354" s="21"/>
      <c r="D354" s="21"/>
    </row>
    <row r="355">
      <c r="A355" s="21"/>
      <c r="B355" s="21"/>
      <c r="C355" s="21"/>
      <c r="D355" s="21"/>
    </row>
    <row r="356">
      <c r="A356" s="21"/>
      <c r="B356" s="21"/>
      <c r="C356" s="21"/>
      <c r="D356" s="21"/>
    </row>
    <row r="357">
      <c r="A357" s="21"/>
      <c r="B357" s="21"/>
      <c r="C357" s="21"/>
      <c r="D357" s="21"/>
    </row>
    <row r="358">
      <c r="A358" s="21"/>
      <c r="B358" s="21"/>
      <c r="C358" s="21"/>
      <c r="D358" s="21"/>
    </row>
    <row r="359">
      <c r="A359" s="21"/>
      <c r="B359" s="21"/>
      <c r="C359" s="21"/>
      <c r="D359" s="21"/>
    </row>
    <row r="360">
      <c r="A360" s="21"/>
      <c r="B360" s="21"/>
      <c r="C360" s="21"/>
      <c r="D360" s="21"/>
    </row>
  </sheetData>
  <conditionalFormatting sqref="A1:D360">
    <cfRule type="expression" dxfId="0" priority="1">
      <formula>$D1="SI"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63"/>
  </cols>
  <sheetData>
    <row r="1">
      <c r="A1" s="21">
        <v>381.0</v>
      </c>
      <c r="B1" s="21" t="s">
        <v>21</v>
      </c>
      <c r="C1" s="21" t="s">
        <v>19</v>
      </c>
      <c r="D1" s="21" t="s">
        <v>20</v>
      </c>
    </row>
    <row r="2">
      <c r="A2" s="21">
        <v>382.0</v>
      </c>
      <c r="B2" s="21" t="s">
        <v>75</v>
      </c>
      <c r="C2" s="21" t="s">
        <v>74</v>
      </c>
      <c r="D2" s="21" t="s">
        <v>20</v>
      </c>
    </row>
    <row r="3">
      <c r="A3" s="21">
        <v>383.0</v>
      </c>
      <c r="B3" s="21" t="s">
        <v>165</v>
      </c>
      <c r="C3" s="21" t="s">
        <v>164</v>
      </c>
      <c r="D3" s="21"/>
    </row>
    <row r="4">
      <c r="A4" s="21">
        <v>384.0</v>
      </c>
      <c r="B4" s="21" t="s">
        <v>255</v>
      </c>
      <c r="C4" s="21" t="s">
        <v>254</v>
      </c>
      <c r="D4" s="21"/>
    </row>
    <row r="5">
      <c r="A5" s="21">
        <v>385.0</v>
      </c>
      <c r="B5" s="21" t="s">
        <v>291</v>
      </c>
      <c r="C5" s="21" t="s">
        <v>290</v>
      </c>
      <c r="D5" s="21"/>
    </row>
    <row r="6">
      <c r="A6" s="21">
        <v>386.0</v>
      </c>
      <c r="B6" s="21" t="s">
        <v>309</v>
      </c>
      <c r="C6" s="21" t="s">
        <v>308</v>
      </c>
      <c r="D6" s="21"/>
    </row>
    <row r="7">
      <c r="A7" s="21">
        <v>387.0</v>
      </c>
      <c r="B7" s="21" t="s">
        <v>345</v>
      </c>
      <c r="C7" s="21" t="s">
        <v>344</v>
      </c>
      <c r="D7" s="21"/>
    </row>
  </sheetData>
  <conditionalFormatting sqref="A1:D7">
    <cfRule type="expression" dxfId="0" priority="1">
      <formula>$D1="SI"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</cols>
  <sheetData>
    <row r="1">
      <c r="A1" s="21">
        <v>388.0</v>
      </c>
      <c r="B1" s="21" t="s">
        <v>44</v>
      </c>
      <c r="C1" s="21" t="s">
        <v>38</v>
      </c>
      <c r="D1" s="21"/>
    </row>
    <row r="2">
      <c r="A2" s="21">
        <v>389.0</v>
      </c>
      <c r="B2" s="21" t="s">
        <v>42</v>
      </c>
      <c r="C2" s="21" t="s">
        <v>38</v>
      </c>
      <c r="D2" s="21"/>
    </row>
    <row r="3">
      <c r="A3" s="21">
        <v>390.0</v>
      </c>
      <c r="B3" s="21" t="s">
        <v>60</v>
      </c>
      <c r="C3" s="21" t="s">
        <v>56</v>
      </c>
      <c r="D3" s="21"/>
    </row>
    <row r="4">
      <c r="A4" s="21">
        <v>391.0</v>
      </c>
      <c r="B4" s="21" t="s">
        <v>134</v>
      </c>
      <c r="C4" s="21" t="s">
        <v>128</v>
      </c>
      <c r="D4" s="21" t="s">
        <v>20</v>
      </c>
    </row>
    <row r="5">
      <c r="A5" s="21">
        <v>392.0</v>
      </c>
      <c r="B5" s="21" t="s">
        <v>152</v>
      </c>
      <c r="C5" s="21" t="s">
        <v>146</v>
      </c>
      <c r="D5" s="21" t="s">
        <v>20</v>
      </c>
      <c r="E5" s="22">
        <v>2.0</v>
      </c>
    </row>
    <row r="6">
      <c r="A6" s="21">
        <v>393.0</v>
      </c>
      <c r="B6" s="21" t="s">
        <v>223</v>
      </c>
      <c r="C6" s="21" t="s">
        <v>218</v>
      </c>
      <c r="D6" s="21"/>
    </row>
    <row r="7">
      <c r="A7" s="21">
        <v>394.0</v>
      </c>
      <c r="B7" s="21" t="s">
        <v>295</v>
      </c>
      <c r="C7" s="21" t="s">
        <v>290</v>
      </c>
      <c r="D7" s="21"/>
    </row>
    <row r="8">
      <c r="A8" s="21">
        <v>395.0</v>
      </c>
      <c r="B8" s="21" t="s">
        <v>349</v>
      </c>
      <c r="C8" s="21" t="s">
        <v>344</v>
      </c>
      <c r="D8" s="21"/>
    </row>
    <row r="9">
      <c r="A9" s="21">
        <v>396.0</v>
      </c>
      <c r="B9" s="21" t="s">
        <v>365</v>
      </c>
      <c r="C9" s="21" t="s">
        <v>362</v>
      </c>
      <c r="D9" s="21" t="s">
        <v>20</v>
      </c>
    </row>
  </sheetData>
  <conditionalFormatting sqref="A1:D9">
    <cfRule type="expression" dxfId="0" priority="1">
      <formula>$D1="SI"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18.38"/>
  </cols>
  <sheetData>
    <row r="1">
      <c r="A1" s="21">
        <v>397.0</v>
      </c>
      <c r="B1" s="21" t="s">
        <v>382</v>
      </c>
      <c r="C1" s="21" t="s">
        <v>38</v>
      </c>
      <c r="D1" s="21"/>
    </row>
    <row r="2">
      <c r="A2" s="21">
        <v>398.0</v>
      </c>
      <c r="B2" s="21" t="s">
        <v>383</v>
      </c>
      <c r="C2" s="21" t="s">
        <v>74</v>
      </c>
      <c r="D2" s="21" t="s">
        <v>20</v>
      </c>
    </row>
    <row r="3">
      <c r="A3" s="21">
        <v>399.0</v>
      </c>
      <c r="B3" s="21" t="s">
        <v>99</v>
      </c>
      <c r="C3" s="21" t="s">
        <v>92</v>
      </c>
      <c r="D3" s="21"/>
    </row>
    <row r="4">
      <c r="A4" s="21">
        <v>400.0</v>
      </c>
      <c r="B4" s="21" t="s">
        <v>384</v>
      </c>
      <c r="C4" s="21" t="s">
        <v>92</v>
      </c>
      <c r="D4" s="21" t="s">
        <v>20</v>
      </c>
    </row>
    <row r="5">
      <c r="A5" s="21">
        <v>401.0</v>
      </c>
      <c r="B5" s="21" t="s">
        <v>141</v>
      </c>
      <c r="C5" s="21" t="s">
        <v>128</v>
      </c>
      <c r="D5" s="21"/>
    </row>
    <row r="6">
      <c r="A6" s="21">
        <v>402.0</v>
      </c>
      <c r="B6" s="21" t="s">
        <v>151</v>
      </c>
      <c r="C6" s="21" t="s">
        <v>146</v>
      </c>
      <c r="D6" s="21" t="s">
        <v>20</v>
      </c>
    </row>
    <row r="7">
      <c r="A7" s="21">
        <v>403.0</v>
      </c>
      <c r="B7" s="21" t="s">
        <v>173</v>
      </c>
      <c r="C7" s="21" t="s">
        <v>164</v>
      </c>
      <c r="D7" s="21" t="s">
        <v>20</v>
      </c>
    </row>
    <row r="8">
      <c r="A8" s="21">
        <v>404.0</v>
      </c>
      <c r="B8" s="21" t="s">
        <v>180</v>
      </c>
      <c r="C8" s="21" t="s">
        <v>164</v>
      </c>
      <c r="D8" s="21" t="s">
        <v>20</v>
      </c>
      <c r="E8" s="22">
        <v>1.0</v>
      </c>
    </row>
    <row r="9">
      <c r="A9" s="21">
        <v>405.0</v>
      </c>
      <c r="B9" s="21" t="s">
        <v>187</v>
      </c>
      <c r="C9" s="21" t="s">
        <v>182</v>
      </c>
      <c r="D9" s="21" t="s">
        <v>20</v>
      </c>
    </row>
    <row r="10">
      <c r="A10" s="21">
        <v>406.0</v>
      </c>
      <c r="B10" s="21" t="s">
        <v>195</v>
      </c>
      <c r="C10" s="21" t="s">
        <v>182</v>
      </c>
      <c r="D10" s="21" t="s">
        <v>20</v>
      </c>
    </row>
    <row r="11">
      <c r="A11" s="21">
        <v>407.0</v>
      </c>
      <c r="B11" s="21" t="s">
        <v>213</v>
      </c>
      <c r="C11" s="21" t="s">
        <v>200</v>
      </c>
      <c r="D11" s="21" t="s">
        <v>20</v>
      </c>
    </row>
    <row r="12">
      <c r="A12" s="21">
        <v>408.0</v>
      </c>
      <c r="B12" s="21" t="s">
        <v>217</v>
      </c>
      <c r="C12" s="21" t="s">
        <v>200</v>
      </c>
      <c r="D12" s="21" t="s">
        <v>20</v>
      </c>
    </row>
    <row r="13">
      <c r="A13" s="21">
        <v>409.0</v>
      </c>
      <c r="B13" s="21" t="s">
        <v>385</v>
      </c>
      <c r="C13" s="21" t="s">
        <v>218</v>
      </c>
      <c r="D13" s="21" t="s">
        <v>20</v>
      </c>
      <c r="E13" s="22">
        <v>1.0</v>
      </c>
    </row>
    <row r="14">
      <c r="A14" s="21">
        <v>410.0</v>
      </c>
      <c r="B14" s="21" t="s">
        <v>234</v>
      </c>
      <c r="C14" s="21" t="s">
        <v>218</v>
      </c>
      <c r="D14" s="21"/>
    </row>
    <row r="15">
      <c r="A15" s="21">
        <v>411.0</v>
      </c>
      <c r="B15" s="21" t="s">
        <v>253</v>
      </c>
      <c r="C15" s="21" t="s">
        <v>236</v>
      </c>
      <c r="D15" s="21"/>
    </row>
    <row r="16">
      <c r="A16" s="21">
        <v>412.0</v>
      </c>
      <c r="B16" s="21" t="s">
        <v>252</v>
      </c>
      <c r="C16" s="21" t="s">
        <v>236</v>
      </c>
      <c r="D16" s="21"/>
    </row>
    <row r="17">
      <c r="A17" s="21">
        <v>413.0</v>
      </c>
      <c r="B17" s="21" t="s">
        <v>268</v>
      </c>
      <c r="C17" s="21" t="s">
        <v>254</v>
      </c>
      <c r="D17" s="21" t="s">
        <v>20</v>
      </c>
    </row>
    <row r="18">
      <c r="A18" s="21">
        <v>414.0</v>
      </c>
      <c r="B18" s="21" t="s">
        <v>368</v>
      </c>
      <c r="C18" s="21" t="s">
        <v>362</v>
      </c>
      <c r="D18" s="21" t="s">
        <v>386</v>
      </c>
      <c r="E18" s="22">
        <v>1.0</v>
      </c>
    </row>
  </sheetData>
  <conditionalFormatting sqref="A1:D18">
    <cfRule type="expression" dxfId="0" priority="1">
      <formula>$D1="SI"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</cols>
  <sheetData>
    <row r="1">
      <c r="A1" s="21">
        <v>415.0</v>
      </c>
      <c r="B1" s="21" t="s">
        <v>65</v>
      </c>
      <c r="C1" s="21" t="s">
        <v>56</v>
      </c>
      <c r="D1" s="21" t="s">
        <v>20</v>
      </c>
      <c r="E1" s="22">
        <v>1.0</v>
      </c>
    </row>
    <row r="2">
      <c r="A2" s="21">
        <v>416.0</v>
      </c>
      <c r="B2" s="21" t="s">
        <v>121</v>
      </c>
      <c r="C2" s="21" t="s">
        <v>110</v>
      </c>
      <c r="D2" s="21" t="s">
        <v>20</v>
      </c>
      <c r="E2" s="22">
        <v>1.0</v>
      </c>
    </row>
    <row r="3">
      <c r="A3" s="21">
        <v>417.0</v>
      </c>
      <c r="B3" s="21" t="s">
        <v>139</v>
      </c>
      <c r="C3" s="21" t="s">
        <v>128</v>
      </c>
      <c r="D3" s="21"/>
    </row>
    <row r="4">
      <c r="A4" s="21">
        <v>418.0</v>
      </c>
      <c r="B4" s="21" t="s">
        <v>156</v>
      </c>
      <c r="C4" s="21" t="s">
        <v>146</v>
      </c>
      <c r="D4" s="21"/>
    </row>
    <row r="5">
      <c r="A5" s="21">
        <v>419.0</v>
      </c>
      <c r="B5" s="21" t="s">
        <v>176</v>
      </c>
      <c r="C5" s="21" t="s">
        <v>164</v>
      </c>
      <c r="D5" s="21" t="s">
        <v>20</v>
      </c>
    </row>
    <row r="6">
      <c r="A6" s="21">
        <v>420.0</v>
      </c>
      <c r="B6" s="21" t="s">
        <v>247</v>
      </c>
      <c r="C6" s="21" t="s">
        <v>236</v>
      </c>
      <c r="D6" s="21"/>
    </row>
    <row r="7">
      <c r="A7" s="21">
        <v>421.0</v>
      </c>
      <c r="B7" s="21" t="s">
        <v>267</v>
      </c>
      <c r="C7" s="21" t="s">
        <v>254</v>
      </c>
      <c r="D7" s="21" t="s">
        <v>20</v>
      </c>
    </row>
    <row r="8">
      <c r="A8" s="21">
        <v>422.0</v>
      </c>
      <c r="B8" s="21" t="s">
        <v>283</v>
      </c>
      <c r="C8" s="21" t="s">
        <v>272</v>
      </c>
      <c r="D8" s="21" t="s">
        <v>20</v>
      </c>
    </row>
    <row r="9">
      <c r="A9" s="21">
        <v>423.0</v>
      </c>
      <c r="B9" s="21" t="s">
        <v>387</v>
      </c>
      <c r="C9" s="21" t="s">
        <v>290</v>
      </c>
      <c r="D9" s="21"/>
    </row>
  </sheetData>
  <conditionalFormatting sqref="A1:D9">
    <cfRule type="expression" dxfId="0" priority="1">
      <formula>$D1="SI"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>
        <v>424.0</v>
      </c>
      <c r="B1" s="21" t="s">
        <v>24</v>
      </c>
      <c r="C1" s="21" t="s">
        <v>19</v>
      </c>
      <c r="D1" s="21"/>
    </row>
    <row r="2">
      <c r="A2" s="21">
        <v>425.0</v>
      </c>
      <c r="B2" s="21" t="s">
        <v>34</v>
      </c>
      <c r="C2" s="21" t="s">
        <v>19</v>
      </c>
      <c r="D2" s="21" t="s">
        <v>20</v>
      </c>
    </row>
    <row r="3">
      <c r="A3" s="21">
        <v>426.0</v>
      </c>
      <c r="B3" s="21" t="s">
        <v>79</v>
      </c>
      <c r="C3" s="21" t="s">
        <v>74</v>
      </c>
      <c r="D3" s="21" t="s">
        <v>20</v>
      </c>
    </row>
    <row r="4">
      <c r="A4" s="21">
        <v>427.0</v>
      </c>
      <c r="B4" s="21" t="s">
        <v>107</v>
      </c>
      <c r="C4" s="21" t="s">
        <v>92</v>
      </c>
      <c r="D4" s="21" t="s">
        <v>20</v>
      </c>
    </row>
    <row r="5">
      <c r="A5" s="21">
        <v>428.0</v>
      </c>
      <c r="B5" s="21" t="s">
        <v>126</v>
      </c>
      <c r="C5" s="21" t="s">
        <v>110</v>
      </c>
      <c r="D5" s="21"/>
    </row>
    <row r="6">
      <c r="A6" s="21">
        <v>429.0</v>
      </c>
      <c r="B6" s="21" t="s">
        <v>159</v>
      </c>
      <c r="C6" s="21" t="s">
        <v>146</v>
      </c>
      <c r="D6" s="21"/>
    </row>
    <row r="7">
      <c r="A7" s="21">
        <v>430.0</v>
      </c>
      <c r="B7" s="21" t="s">
        <v>197</v>
      </c>
      <c r="C7" s="21" t="s">
        <v>182</v>
      </c>
      <c r="D7" s="21"/>
    </row>
    <row r="8">
      <c r="A8" s="21">
        <v>431.0</v>
      </c>
      <c r="B8" s="21" t="s">
        <v>207</v>
      </c>
      <c r="C8" s="21" t="s">
        <v>200</v>
      </c>
      <c r="D8" s="21" t="s">
        <v>20</v>
      </c>
    </row>
    <row r="9">
      <c r="A9" s="21">
        <v>432.0</v>
      </c>
      <c r="B9" s="21" t="s">
        <v>227</v>
      </c>
      <c r="C9" s="21" t="s">
        <v>218</v>
      </c>
      <c r="D9" s="21"/>
    </row>
    <row r="10">
      <c r="A10" s="21">
        <v>433.0</v>
      </c>
      <c r="B10" s="21" t="s">
        <v>237</v>
      </c>
      <c r="C10" s="21" t="s">
        <v>236</v>
      </c>
      <c r="D10" s="21"/>
    </row>
    <row r="11">
      <c r="A11" s="21">
        <v>434.0</v>
      </c>
      <c r="B11" s="21" t="s">
        <v>273</v>
      </c>
      <c r="C11" s="21" t="s">
        <v>272</v>
      </c>
      <c r="D11" s="21" t="s">
        <v>20</v>
      </c>
    </row>
    <row r="12">
      <c r="A12" s="21">
        <v>435.0</v>
      </c>
      <c r="B12" s="21" t="s">
        <v>285</v>
      </c>
      <c r="C12" s="21" t="s">
        <v>272</v>
      </c>
      <c r="D12" s="21"/>
    </row>
    <row r="13">
      <c r="A13" s="21">
        <v>436.0</v>
      </c>
      <c r="B13" s="21" t="s">
        <v>319</v>
      </c>
      <c r="C13" s="21" t="s">
        <v>308</v>
      </c>
      <c r="D13" s="21" t="s">
        <v>20</v>
      </c>
    </row>
    <row r="14">
      <c r="A14" s="21">
        <v>437.0</v>
      </c>
      <c r="B14" s="21" t="s">
        <v>316</v>
      </c>
      <c r="C14" s="21" t="s">
        <v>308</v>
      </c>
      <c r="D14" s="21"/>
    </row>
    <row r="15">
      <c r="A15" s="21">
        <v>438.0</v>
      </c>
      <c r="B15" s="21" t="s">
        <v>338</v>
      </c>
      <c r="C15" s="21" t="s">
        <v>326</v>
      </c>
      <c r="D15" s="21"/>
    </row>
    <row r="16">
      <c r="A16" s="21">
        <v>439.0</v>
      </c>
      <c r="B16" s="21" t="s">
        <v>343</v>
      </c>
      <c r="C16" s="21" t="s">
        <v>326</v>
      </c>
      <c r="D16" s="21" t="s">
        <v>20</v>
      </c>
    </row>
    <row r="17">
      <c r="A17" s="21">
        <v>440.0</v>
      </c>
      <c r="B17" s="21" t="s">
        <v>360</v>
      </c>
      <c r="C17" s="21" t="s">
        <v>344</v>
      </c>
      <c r="D17" s="21" t="s">
        <v>20</v>
      </c>
    </row>
    <row r="18">
      <c r="A18" s="21">
        <v>441.0</v>
      </c>
      <c r="B18" s="21" t="s">
        <v>375</v>
      </c>
      <c r="C18" s="21" t="s">
        <v>362</v>
      </c>
      <c r="D18" s="21"/>
    </row>
  </sheetData>
  <conditionalFormatting sqref="A1:D18">
    <cfRule type="expression" dxfId="0" priority="1">
      <formula>$D1="SI"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3" width="25.13"/>
  </cols>
  <sheetData>
    <row r="1">
      <c r="A1" s="21">
        <v>468.0</v>
      </c>
      <c r="B1" s="21" t="s">
        <v>388</v>
      </c>
      <c r="C1" s="21" t="s">
        <v>389</v>
      </c>
      <c r="D1" s="21"/>
    </row>
    <row r="2">
      <c r="A2" s="21">
        <v>469.0</v>
      </c>
      <c r="B2" s="21" t="s">
        <v>55</v>
      </c>
      <c r="C2" s="21" t="s">
        <v>390</v>
      </c>
      <c r="D2" s="21" t="s">
        <v>20</v>
      </c>
      <c r="E2" s="22">
        <v>2.0</v>
      </c>
    </row>
    <row r="3">
      <c r="A3" s="21">
        <v>470.0</v>
      </c>
      <c r="B3" s="21" t="s">
        <v>391</v>
      </c>
      <c r="C3" s="21" t="s">
        <v>392</v>
      </c>
      <c r="D3" s="21"/>
    </row>
    <row r="4">
      <c r="A4" s="21">
        <v>471.0</v>
      </c>
      <c r="B4" s="21" t="s">
        <v>84</v>
      </c>
      <c r="C4" s="21" t="s">
        <v>393</v>
      </c>
      <c r="D4" s="21"/>
    </row>
    <row r="5">
      <c r="A5" s="21">
        <v>472.0</v>
      </c>
      <c r="B5" s="21" t="s">
        <v>88</v>
      </c>
      <c r="C5" s="21" t="s">
        <v>393</v>
      </c>
      <c r="D5" s="21"/>
    </row>
    <row r="6">
      <c r="A6" s="21">
        <v>473.0</v>
      </c>
      <c r="B6" s="21" t="s">
        <v>235</v>
      </c>
      <c r="C6" s="21" t="s">
        <v>394</v>
      </c>
      <c r="D6" s="21"/>
    </row>
    <row r="7">
      <c r="A7" s="21">
        <v>474.0</v>
      </c>
      <c r="B7" s="21" t="s">
        <v>233</v>
      </c>
      <c r="C7" s="21" t="s">
        <v>394</v>
      </c>
      <c r="D7" s="21" t="s">
        <v>20</v>
      </c>
    </row>
    <row r="8">
      <c r="A8" s="21">
        <v>475.0</v>
      </c>
      <c r="B8" s="21" t="s">
        <v>395</v>
      </c>
      <c r="C8" s="21" t="s">
        <v>389</v>
      </c>
      <c r="D8" s="21"/>
    </row>
    <row r="9">
      <c r="A9" s="21">
        <v>476.0</v>
      </c>
      <c r="B9" s="21" t="s">
        <v>396</v>
      </c>
      <c r="C9" s="21" t="s">
        <v>389</v>
      </c>
      <c r="D9" s="21"/>
    </row>
    <row r="10">
      <c r="A10" s="21">
        <v>477.0</v>
      </c>
      <c r="B10" s="21" t="s">
        <v>397</v>
      </c>
      <c r="C10" s="21" t="s">
        <v>389</v>
      </c>
      <c r="D10" s="21" t="s">
        <v>20</v>
      </c>
    </row>
    <row r="11">
      <c r="A11" s="21">
        <v>478.0</v>
      </c>
      <c r="B11" s="21" t="s">
        <v>398</v>
      </c>
      <c r="C11" s="21" t="s">
        <v>389</v>
      </c>
      <c r="D11" s="21"/>
    </row>
  </sheetData>
  <conditionalFormatting sqref="A1:D11">
    <cfRule type="expression" dxfId="0" priority="1">
      <formula>$D1="SI"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</cols>
  <sheetData>
    <row r="1">
      <c r="A1" s="21">
        <v>442.0</v>
      </c>
      <c r="B1" s="21" t="s">
        <v>39</v>
      </c>
      <c r="C1" s="21" t="s">
        <v>38</v>
      </c>
      <c r="D1" s="21"/>
    </row>
    <row r="2">
      <c r="A2" s="21">
        <v>443.0</v>
      </c>
      <c r="B2" s="21" t="s">
        <v>47</v>
      </c>
      <c r="C2" s="21" t="s">
        <v>38</v>
      </c>
      <c r="D2" s="21"/>
    </row>
    <row r="3">
      <c r="A3" s="21">
        <v>444.0</v>
      </c>
      <c r="B3" s="21" t="s">
        <v>57</v>
      </c>
      <c r="C3" s="21" t="s">
        <v>56</v>
      </c>
      <c r="D3" s="21" t="s">
        <v>20</v>
      </c>
    </row>
    <row r="4">
      <c r="A4" s="21">
        <v>445.0</v>
      </c>
      <c r="B4" s="21" t="s">
        <v>59</v>
      </c>
      <c r="C4" s="21" t="s">
        <v>56</v>
      </c>
      <c r="D4" s="21"/>
    </row>
    <row r="5">
      <c r="A5" s="21">
        <v>446.0</v>
      </c>
      <c r="B5" s="21" t="s">
        <v>399</v>
      </c>
      <c r="C5" s="21" t="s">
        <v>56</v>
      </c>
      <c r="D5" s="21"/>
    </row>
    <row r="6">
      <c r="A6" s="21">
        <v>447.0</v>
      </c>
      <c r="B6" s="21" t="s">
        <v>68</v>
      </c>
      <c r="C6" s="21" t="s">
        <v>56</v>
      </c>
      <c r="D6" s="21" t="s">
        <v>20</v>
      </c>
      <c r="E6" s="22">
        <v>1.0</v>
      </c>
    </row>
    <row r="7">
      <c r="A7" s="21">
        <v>448.0</v>
      </c>
      <c r="B7" s="21" t="s">
        <v>73</v>
      </c>
      <c r="C7" s="21" t="s">
        <v>56</v>
      </c>
      <c r="D7" s="21" t="s">
        <v>20</v>
      </c>
    </row>
    <row r="8">
      <c r="A8" s="21">
        <v>449.0</v>
      </c>
      <c r="B8" s="21" t="s">
        <v>77</v>
      </c>
      <c r="C8" s="21" t="s">
        <v>74</v>
      </c>
      <c r="D8" s="21" t="s">
        <v>20</v>
      </c>
    </row>
    <row r="9">
      <c r="A9" s="21">
        <v>450.0</v>
      </c>
      <c r="B9" s="21" t="s">
        <v>81</v>
      </c>
      <c r="C9" s="21" t="s">
        <v>74</v>
      </c>
      <c r="D9" s="21"/>
    </row>
    <row r="10">
      <c r="A10" s="21">
        <v>451.0</v>
      </c>
      <c r="B10" s="21" t="s">
        <v>87</v>
      </c>
      <c r="C10" s="21" t="s">
        <v>74</v>
      </c>
      <c r="D10" s="21"/>
    </row>
    <row r="11">
      <c r="A11" s="21">
        <v>452.0</v>
      </c>
      <c r="B11" s="21" t="s">
        <v>90</v>
      </c>
      <c r="C11" s="21" t="s">
        <v>74</v>
      </c>
      <c r="D11" s="21" t="s">
        <v>20</v>
      </c>
      <c r="E11" s="22">
        <v>1.0</v>
      </c>
    </row>
    <row r="12">
      <c r="A12" s="21">
        <v>453.0</v>
      </c>
      <c r="B12" s="21" t="s">
        <v>91</v>
      </c>
      <c r="C12" s="21" t="s">
        <v>74</v>
      </c>
      <c r="D12" s="21"/>
    </row>
    <row r="13">
      <c r="A13" s="21">
        <v>454.0</v>
      </c>
      <c r="B13" s="21" t="s">
        <v>105</v>
      </c>
      <c r="C13" s="21" t="s">
        <v>92</v>
      </c>
      <c r="D13" s="21"/>
    </row>
    <row r="14">
      <c r="A14" s="21">
        <v>455.0</v>
      </c>
      <c r="B14" s="21" t="s">
        <v>104</v>
      </c>
      <c r="C14" s="21" t="s">
        <v>92</v>
      </c>
      <c r="D14" s="21" t="s">
        <v>20</v>
      </c>
    </row>
    <row r="15">
      <c r="A15" s="21">
        <v>456.0</v>
      </c>
      <c r="B15" s="21" t="s">
        <v>106</v>
      </c>
      <c r="C15" s="21" t="s">
        <v>92</v>
      </c>
      <c r="D15" s="21" t="s">
        <v>20</v>
      </c>
    </row>
    <row r="16">
      <c r="A16" s="21">
        <v>457.0</v>
      </c>
      <c r="B16" s="21" t="s">
        <v>219</v>
      </c>
      <c r="C16" s="21" t="s">
        <v>218</v>
      </c>
      <c r="D16" s="21"/>
    </row>
    <row r="17">
      <c r="A17" s="21">
        <v>458.0</v>
      </c>
      <c r="B17" s="21" t="s">
        <v>226</v>
      </c>
      <c r="C17" s="21" t="s">
        <v>218</v>
      </c>
      <c r="D17" s="21" t="s">
        <v>20</v>
      </c>
    </row>
    <row r="18">
      <c r="A18" s="21">
        <v>459.0</v>
      </c>
      <c r="B18" s="21" t="s">
        <v>228</v>
      </c>
      <c r="C18" s="21" t="s">
        <v>218</v>
      </c>
      <c r="D18" s="21"/>
    </row>
    <row r="19">
      <c r="A19" s="21">
        <v>460.0</v>
      </c>
      <c r="B19" s="21" t="s">
        <v>231</v>
      </c>
      <c r="C19" s="21" t="s">
        <v>218</v>
      </c>
      <c r="D19" s="21"/>
    </row>
    <row r="20">
      <c r="A20" s="21">
        <v>461.0</v>
      </c>
      <c r="B20" s="21" t="s">
        <v>270</v>
      </c>
      <c r="C20" s="21" t="s">
        <v>254</v>
      </c>
      <c r="D20" s="21" t="s">
        <v>20</v>
      </c>
    </row>
    <row r="21">
      <c r="A21" s="21">
        <v>462.0</v>
      </c>
      <c r="B21" s="21" t="s">
        <v>301</v>
      </c>
      <c r="C21" s="21" t="s">
        <v>290</v>
      </c>
      <c r="D21" s="21" t="s">
        <v>20</v>
      </c>
    </row>
    <row r="22">
      <c r="A22" s="21">
        <v>463.0</v>
      </c>
      <c r="B22" s="21" t="s">
        <v>321</v>
      </c>
      <c r="C22" s="21" t="s">
        <v>308</v>
      </c>
      <c r="D22" s="21"/>
    </row>
    <row r="23">
      <c r="A23" s="21">
        <v>464.0</v>
      </c>
      <c r="B23" s="21" t="s">
        <v>339</v>
      </c>
      <c r="C23" s="21" t="s">
        <v>326</v>
      </c>
      <c r="D23" s="21"/>
    </row>
    <row r="24">
      <c r="A24" s="21">
        <v>465.0</v>
      </c>
      <c r="B24" s="21" t="s">
        <v>355</v>
      </c>
      <c r="C24" s="21" t="s">
        <v>344</v>
      </c>
      <c r="D24" s="21" t="s">
        <v>20</v>
      </c>
      <c r="E24" s="22">
        <v>1.0</v>
      </c>
    </row>
    <row r="25">
      <c r="A25" s="21">
        <v>466.0</v>
      </c>
      <c r="B25" s="21" t="s">
        <v>374</v>
      </c>
      <c r="C25" s="21" t="s">
        <v>362</v>
      </c>
      <c r="D25" s="21"/>
    </row>
    <row r="26">
      <c r="A26" s="21">
        <v>467.0</v>
      </c>
      <c r="B26" s="21" t="s">
        <v>377</v>
      </c>
      <c r="C26" s="21" t="s">
        <v>362</v>
      </c>
      <c r="D26" s="21" t="s">
        <v>20</v>
      </c>
    </row>
  </sheetData>
  <conditionalFormatting sqref="A1:D26">
    <cfRule type="expression" dxfId="0" priority="1">
      <formula>$D1="SI"</formula>
    </cfRule>
  </conditionalFormatting>
  <drawing r:id="rId1"/>
</worksheet>
</file>