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<sst xmlns="http://schemas.openxmlformats.org/spreadsheetml/2006/main" count="1359" uniqueCount="399">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</sst>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46061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255</v>
      </c>
      <c r="D3" s="9">
        <f t="shared" ref="D3:D12" si="1">B3-C3</f>
        <v>105</v>
      </c>
      <c r="E3" s="10">
        <f t="shared" ref="E3:E4" si="2">(C3/B3)</f>
        <v>0.7083333333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19</v>
      </c>
      <c r="D4" s="9">
        <f t="shared" si="1"/>
        <v>1</v>
      </c>
      <c r="E4" s="10">
        <f t="shared" si="2"/>
        <v>0.95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12</v>
      </c>
      <c r="D5" s="9">
        <f t="shared" si="1"/>
        <v>8</v>
      </c>
      <c r="E5" s="10">
        <f t="shared" ref="E5:E13" si="3">C5/B5</f>
        <v>0.6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6</v>
      </c>
      <c r="D7" s="15">
        <f t="shared" si="1"/>
        <v>3</v>
      </c>
      <c r="E7" s="10">
        <f t="shared" si="3"/>
        <v>0.6666666667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10</v>
      </c>
      <c r="D10" s="15">
        <f t="shared" si="1"/>
        <v>8</v>
      </c>
      <c r="E10" s="10">
        <f t="shared" si="3"/>
        <v>0.5555555556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16</v>
      </c>
      <c r="D11" s="15">
        <f t="shared" si="1"/>
        <v>10</v>
      </c>
      <c r="E11" s="10">
        <f t="shared" si="3"/>
        <v>0.6153846154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4</v>
      </c>
      <c r="D12" s="15">
        <f t="shared" si="1"/>
        <v>7</v>
      </c>
      <c r="E12" s="10">
        <f t="shared" si="3"/>
        <v>0.3636363636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344</v>
      </c>
      <c r="D13" s="17">
        <f t="shared" si="4"/>
        <v>154</v>
      </c>
      <c r="E13" s="18">
        <f t="shared" si="3"/>
        <v>0.6907630522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Estadios!A:A&lt;&gt;"""")}"),5.0)</f>
        <v>5</v>
      </c>
      <c r="B1" s="20" t="str">
        <f>IFERROR(__xludf.DUMMYFUNCTION("""COMPUTED_VALUE"""),"TENAGLIA")</f>
        <v>TENAGLIA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IFERROR(__xludf.DUMMYFUNCTION("""COMPUTED_VALUE"""),11.0)</f>
        <v>11</v>
      </c>
      <c r="B2" s="20" t="str">
        <f>IFERROR(__xludf.DUMMYFUNCTION("""COMPUTED_VALUE"""),"GURIDI")</f>
        <v>GURIDI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IFERROR(__xludf.DUMMYFUNCTION("""COMPUTED_VALUE"""),12.0)</f>
        <v>12</v>
      </c>
      <c r="B3" s="20" t="str">
        <f>IFERROR(__xludf.DUMMYFUNCTION("""COMPUTED_VALUE"""),"ALEÑÁ")</f>
        <v>ALEÑÁ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IFERROR(__xludf.DUMMYFUNCTION("""COMPUTED_VALUE"""),13.0)</f>
        <v>13</v>
      </c>
      <c r="B4" s="20" t="str">
        <f>IFERROR(__xludf.DUMMYFUNCTION("""COMPUTED_VALUE"""),"PABLO IBÁÑEZ")</f>
        <v>PABLO IBÁÑEZ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IFERROR(__xludf.DUMMYFUNCTION("""COMPUTED_VALUE"""),16.0)</f>
        <v>16</v>
      </c>
      <c r="B5" s="20" t="str">
        <f>IFERROR(__xludf.DUMMYFUNCTION("""COMPUTED_VALUE"""),"TONI MARTÍNEZ")</f>
        <v>TONI MARTÍNEZ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IFERROR(__xludf.DUMMYFUNCTION("""COMPUTED_VALUE"""),20.0)</f>
        <v>20</v>
      </c>
      <c r="B6" s="20" t="str">
        <f>IFERROR(__xludf.DUMMYFUNCTION("""COMPUTED_VALUE"""),"UNAI SIMÓN")</f>
        <v>UNAI SIMÓN</v>
      </c>
      <c r="C6" s="20" t="str">
        <f>IFERROR(__xludf.DUMMYFUNCTION("""COMPUTED_VALUE"""),"ATHLETIC CLUB")</f>
        <v>ATHLETIC CLUB</v>
      </c>
    </row>
    <row r="7">
      <c r="A7" s="20">
        <f>IFERROR(__xludf.DUMMYFUNCTION("""COMPUTED_VALUE"""),24.0)</f>
        <v>24</v>
      </c>
      <c r="B7" s="20" t="str">
        <f>IFERROR(__xludf.DUMMYFUNCTION("""COMPUTED_VALUE"""),"PAREDES")</f>
        <v>PAREDES</v>
      </c>
      <c r="C7" s="20" t="str">
        <f>IFERROR(__xludf.DUMMYFUNCTION("""COMPUTED_VALUE"""),"ATHLETIC CLUB")</f>
        <v>ATHLETIC CLUB</v>
      </c>
    </row>
    <row r="8">
      <c r="A8" s="20">
        <f>IFERROR(__xludf.DUMMYFUNCTION("""COMPUTED_VALUE"""),25.0)</f>
        <v>25</v>
      </c>
      <c r="B8" s="20" t="str">
        <f>IFERROR(__xludf.DUMMYFUNCTION("""COMPUTED_VALUE"""),"LAPORTE")</f>
        <v>LAPORTE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IFERROR(__xludf.DUMMYFUNCTION("""COMPUTED_VALUE"""),26.0)</f>
        <v>26</v>
      </c>
      <c r="B9" s="20" t="str">
        <f>IFERROR(__xludf.DUMMYFUNCTION("""COMPUTED_VALUE"""),"YURI")</f>
        <v>YURI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IFERROR(__xludf.DUMMYFUNCTION("""COMPUTED_VALUE"""),29.0)</f>
        <v>29</v>
      </c>
      <c r="B10" s="20" t="str">
        <f>IFERROR(__xludf.DUMMYFUNCTION("""COMPUTED_VALUE"""),"VESGA")</f>
        <v>VESGA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IFERROR(__xludf.DUMMYFUNCTION("""COMPUTED_VALUE"""),30.0)</f>
        <v>30</v>
      </c>
      <c r="B11" s="20" t="str">
        <f>IFERROR(__xludf.DUMMYFUNCTION("""COMPUTED_VALUE"""),"UNAI GÓMEZ")</f>
        <v>UNAI GÓMEZ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IFERROR(__xludf.DUMMYFUNCTION("""COMPUTED_VALUE"""),35.0)</f>
        <v>35</v>
      </c>
      <c r="B12" s="20" t="str">
        <f>IFERROR(__xludf.DUMMYFUNCTION("""COMPUTED_VALUE"""),"GURUZETA")</f>
        <v>GURUZETA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IFERROR(__xludf.DUMMYFUNCTION("""COMPUTED_VALUE"""),36.0)</f>
        <v>36</v>
      </c>
      <c r="B13" s="20" t="str">
        <f>IFERROR(__xludf.DUMMYFUNCTION("""COMPUTED_VALUE"""),"NICO WILLIAMS")</f>
        <v>NICO WILLIAMS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IFERROR(__xludf.DUMMYFUNCTION("""COMPUTED_VALUE"""),37.0)</f>
        <v>37</v>
      </c>
      <c r="B14" s="20" t="str">
        <f>IFERROR(__xludf.DUMMYFUNCTION("""COMPUTED_VALUE"""),"ESCUDO")</f>
        <v>ESCUDO</v>
      </c>
      <c r="C14" s="20" t="str">
        <f>IFERROR(__xludf.DUMMYFUNCTION("""COMPUTED_VALUE"""),"ATLÉTICO DE MADRID")</f>
        <v>ATLÉTICO DE MADRID</v>
      </c>
    </row>
    <row r="15">
      <c r="A15" s="20">
        <f>IFERROR(__xludf.DUMMYFUNCTION("""COMPUTED_VALUE"""),38.0)</f>
        <v>38</v>
      </c>
      <c r="B15" s="20" t="str">
        <f>IFERROR(__xludf.DUMMYFUNCTION("""COMPUTED_VALUE"""),"OBLAK")</f>
        <v>OBLAK</v>
      </c>
      <c r="C15" s="20" t="str">
        <f>IFERROR(__xludf.DUMMYFUNCTION("""COMPUTED_VALUE"""),"ATLÉTICO DE MADRID")</f>
        <v>ATLÉTICO DE MADRID</v>
      </c>
    </row>
    <row r="16">
      <c r="A16" s="20">
        <f>IFERROR(__xludf.DUMMYFUNCTION("""COMPUTED_VALUE"""),48.0)</f>
        <v>48</v>
      </c>
      <c r="B16" s="20" t="str">
        <f>IFERROR(__xludf.DUMMYFUNCTION("""COMPUTED_VALUE"""),"ALEX BAENA")</f>
        <v>ALEX BAENA</v>
      </c>
      <c r="C16" s="20" t="str">
        <f>IFERROR(__xludf.DUMMYFUNCTION("""COMPUTED_VALUE"""),"ATLÉTICO DE MADRID")</f>
        <v>ATLÉTICO DE MADRID</v>
      </c>
    </row>
    <row r="17">
      <c r="A17" s="20">
        <f>IFERROR(__xludf.DUMMYFUNCTION("""COMPUTED_VALUE"""),50.0)</f>
        <v>50</v>
      </c>
      <c r="B17" s="20" t="str">
        <f>IFERROR(__xludf.DUMMYFUNCTION("""COMPUTED_VALUE"""),"NICO GONZÁLEZ")</f>
        <v>NICO GONZÁLEZ</v>
      </c>
      <c r="C17" s="20" t="str">
        <f>IFERROR(__xludf.DUMMYFUNCTION("""COMPUTED_VALUE"""),"ATLÉTICO DE MADRID")</f>
        <v>ATLÉTICO DE MADRID</v>
      </c>
    </row>
    <row r="18">
      <c r="A18" s="20">
        <f>IFERROR(__xludf.DUMMYFUNCTION("""COMPUTED_VALUE"""),51.0)</f>
        <v>51</v>
      </c>
      <c r="B18" s="20" t="str">
        <f>IFERROR(__xludf.DUMMYFUNCTION("""COMPUTED_VALUE"""),"GIULIANO")</f>
        <v>GIULIANO</v>
      </c>
      <c r="C18" s="20" t="str">
        <f>IFERROR(__xludf.DUMMYFUNCTION("""COMPUTED_VALUE"""),"ATLÉTICO DE MADRID")</f>
        <v>ATLÉTICO DE MADRID</v>
      </c>
    </row>
    <row r="19">
      <c r="A19" s="20">
        <f>IFERROR(__xludf.DUMMYFUNCTION("""COMPUTED_VALUE"""),54.0)</f>
        <v>54</v>
      </c>
      <c r="B19" s="20" t="str">
        <f>IFERROR(__xludf.DUMMYFUNCTION("""COMPUTED_VALUE"""),"GRIEZMANN")</f>
        <v>GRIEZMANN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IFERROR(__xludf.DUMMYFUNCTION("""COMPUTED_VALUE"""),57.0)</f>
        <v>57</v>
      </c>
      <c r="B20" s="20" t="str">
        <f>IFERROR(__xludf.DUMMYFUNCTION("""COMPUTED_VALUE"""),"SZCZESNY")</f>
        <v>SZCZESNY</v>
      </c>
      <c r="C20" s="20" t="str">
        <f>IFERROR(__xludf.DUMMYFUNCTION("""COMPUTED_VALUE"""),"FC BARCELONA")</f>
        <v>FC BARCELONA</v>
      </c>
    </row>
    <row r="21">
      <c r="A21" s="20">
        <f>IFERROR(__xludf.DUMMYFUNCTION("""COMPUTED_VALUE"""),58.0)</f>
        <v>58</v>
      </c>
      <c r="B21" s="20" t="str">
        <f>IFERROR(__xludf.DUMMYFUNCTION("""COMPUTED_VALUE"""),"KOUNDÉ")</f>
        <v>KOUNDÉ</v>
      </c>
      <c r="C21" s="20" t="str">
        <f>IFERROR(__xludf.DUMMYFUNCTION("""COMPUTED_VALUE"""),"FC BARCELONA")</f>
        <v>FC BARCELONA</v>
      </c>
    </row>
    <row r="22">
      <c r="A22" s="20">
        <f>IFERROR(__xludf.DUMMYFUNCTION("""COMPUTED_VALUE"""),60.0)</f>
        <v>60</v>
      </c>
      <c r="B22" s="20" t="str">
        <f>IFERROR(__xludf.DUMMYFUNCTION("""COMPUTED_VALUE"""),"ERIC GARCÍA")</f>
        <v>ERIC GARCÍA</v>
      </c>
      <c r="C22" s="20" t="str">
        <f>IFERROR(__xludf.DUMMYFUNCTION("""COMPUTED_VALUE"""),"FC BARCELONA")</f>
        <v>FC BARCELONA</v>
      </c>
    </row>
    <row r="23">
      <c r="A23" s="20">
        <f>IFERROR(__xludf.DUMMYFUNCTION("""COMPUTED_VALUE"""),68.0)</f>
        <v>68</v>
      </c>
      <c r="B23" s="20" t="str">
        <f>IFERROR(__xludf.DUMMYFUNCTION("""COMPUTED_VALUE"""),"RAPHINHA")</f>
        <v>RAPHINHA</v>
      </c>
      <c r="C23" s="20" t="str">
        <f>IFERROR(__xludf.DUMMYFUNCTION("""COMPUTED_VALUE"""),"FC BARCELONA")</f>
        <v>FC BARCELONA</v>
      </c>
    </row>
    <row r="24">
      <c r="A24" s="20">
        <f>IFERROR(__xludf.DUMMYFUNCTION("""COMPUTED_VALUE"""),69.0)</f>
        <v>69</v>
      </c>
      <c r="B24" s="20" t="str">
        <f>IFERROR(__xludf.DUMMYFUNCTION("""COMPUTED_VALUE"""),"LAMINE YAMAL")</f>
        <v>LAMINE YAMAL</v>
      </c>
      <c r="C24" s="20" t="str">
        <f>IFERROR(__xludf.DUMMYFUNCTION("""COMPUTED_VALUE"""),"FC BARCELONA")</f>
        <v>FC BARCELONA</v>
      </c>
    </row>
    <row r="25">
      <c r="A25" s="20">
        <f>IFERROR(__xludf.DUMMYFUNCTION("""COMPUTED_VALUE"""),70.0)</f>
        <v>70</v>
      </c>
      <c r="B25" s="20" t="str">
        <f>IFERROR(__xludf.DUMMYFUNCTION("""COMPUTED_VALUE"""),"FERRAN TORRES")</f>
        <v>FERRAN TORRES</v>
      </c>
      <c r="C25" s="20" t="str">
        <f>IFERROR(__xludf.DUMMYFUNCTION("""COMPUTED_VALUE"""),"FC BARCELONA")</f>
        <v>FC BARCELONA</v>
      </c>
    </row>
    <row r="26">
      <c r="A26" s="20">
        <f>IFERROR(__xludf.DUMMYFUNCTION("""COMPUTED_VALUE"""),80.0)</f>
        <v>80</v>
      </c>
      <c r="B26" s="20" t="str">
        <f>IFERROR(__xludf.DUMMYFUNCTION("""COMPUTED_VALUE"""),"VALENTÍN GÓMEZ")</f>
        <v>VALENTÍN GÓMEZ</v>
      </c>
      <c r="C26" s="20" t="str">
        <f>IFERROR(__xludf.DUMMYFUNCTION("""COMPUTED_VALUE"""),"REAL BETIS")</f>
        <v>REAL BETIS</v>
      </c>
    </row>
    <row r="27">
      <c r="A27" s="20">
        <f>IFERROR(__xludf.DUMMYFUNCTION("""COMPUTED_VALUE"""),82.0)</f>
        <v>82</v>
      </c>
      <c r="B27" s="20" t="str">
        <f>IFERROR(__xludf.DUMMYFUNCTION("""COMPUTED_VALUE"""),"ALTIMIRA")</f>
        <v>ALTIMIRA</v>
      </c>
      <c r="C27" s="20" t="str">
        <f>IFERROR(__xludf.DUMMYFUNCTION("""COMPUTED_VALUE"""),"REAL BETIS")</f>
        <v>REAL BETIS</v>
      </c>
    </row>
    <row r="28">
      <c r="A28" s="20">
        <f>IFERROR(__xludf.DUMMYFUNCTION("""COMPUTED_VALUE"""),83.0)</f>
        <v>83</v>
      </c>
      <c r="B28" s="20" t="str">
        <f>IFERROR(__xludf.DUMMYFUNCTION("""COMPUTED_VALUE"""),"AMRABAT")</f>
        <v>AMRABAT</v>
      </c>
      <c r="C28" s="20" t="str">
        <f>IFERROR(__xludf.DUMMYFUNCTION("""COMPUTED_VALUE"""),"REAL BETIS")</f>
        <v>REAL BETIS</v>
      </c>
    </row>
    <row r="29">
      <c r="A29" s="20">
        <f>IFERROR(__xludf.DUMMYFUNCTION("""COMPUTED_VALUE"""),85.0)</f>
        <v>85</v>
      </c>
      <c r="B29" s="20" t="str">
        <f>IFERROR(__xludf.DUMMYFUNCTION("""COMPUTED_VALUE"""),"LO CELSO")</f>
        <v>LO CELSO</v>
      </c>
      <c r="C29" s="20" t="str">
        <f>IFERROR(__xludf.DUMMYFUNCTION("""COMPUTED_VALUE"""),"REAL BETIS")</f>
        <v>REAL BETIS</v>
      </c>
    </row>
    <row r="30">
      <c r="A30" s="20">
        <f>IFERROR(__xludf.DUMMYFUNCTION("""COMPUTED_VALUE"""),89.0)</f>
        <v>89</v>
      </c>
      <c r="B30" s="20" t="str">
        <f>IFERROR(__xludf.DUMMYFUNCTION("""COMPUTED_VALUE"""),"RIQUELME")</f>
        <v>RIQUELME</v>
      </c>
      <c r="C30" s="20" t="str">
        <f>IFERROR(__xludf.DUMMYFUNCTION("""COMPUTED_VALUE"""),"REAL BETIS")</f>
        <v>REAL BETIS</v>
      </c>
    </row>
    <row r="31">
      <c r="A31" s="20">
        <f>IFERROR(__xludf.DUMMYFUNCTION("""COMPUTED_VALUE"""),90.0)</f>
        <v>90</v>
      </c>
      <c r="B31" s="20" t="str">
        <f>IFERROR(__xludf.DUMMYFUNCTION("""COMPUTED_VALUE"""),"ABDE")</f>
        <v>ABDE</v>
      </c>
      <c r="C31" s="20" t="str">
        <f>IFERROR(__xludf.DUMMYFUNCTION("""COMPUTED_VALUE"""),"REAL BETIS")</f>
        <v>REAL BETIS</v>
      </c>
    </row>
    <row r="32">
      <c r="A32" s="20">
        <f>IFERROR(__xludf.DUMMYFUNCTION("""COMPUTED_VALUE"""),92.0)</f>
        <v>92</v>
      </c>
      <c r="B32" s="20" t="str">
        <f>IFERROR(__xludf.DUMMYFUNCTION("""COMPUTED_VALUE"""),"RADU")</f>
        <v>RADU</v>
      </c>
      <c r="C32" s="20" t="str">
        <f>IFERROR(__xludf.DUMMYFUNCTION("""COMPUTED_VALUE"""),"RC CELTA")</f>
        <v>RC CELTA</v>
      </c>
    </row>
    <row r="33">
      <c r="A33" s="20">
        <f>IFERROR(__xludf.DUMMYFUNCTION("""COMPUTED_VALUE"""),96.0)</f>
        <v>96</v>
      </c>
      <c r="B33" s="20" t="str">
        <f>IFERROR(__xludf.DUMMYFUNCTION("""COMPUTED_VALUE"""),"STARFELT")</f>
        <v>STARFELT</v>
      </c>
      <c r="C33" s="20" t="str">
        <f>IFERROR(__xludf.DUMMYFUNCTION("""COMPUTED_VALUE"""),"RC CELTA")</f>
        <v>RC CELTA</v>
      </c>
    </row>
    <row r="34">
      <c r="A34" s="20">
        <f>IFERROR(__xludf.DUMMYFUNCTION("""COMPUTED_VALUE"""),98.0)</f>
        <v>98</v>
      </c>
      <c r="B34" s="20" t="str">
        <f>IFERROR(__xludf.DUMMYFUNCTION("""COMPUTED_VALUE"""),"MINGUEZA")</f>
        <v>MINGUEZA</v>
      </c>
      <c r="C34" s="20" t="str">
        <f>IFERROR(__xludf.DUMMYFUNCTION("""COMPUTED_VALUE"""),"RC CELTA")</f>
        <v>RC CELTA</v>
      </c>
    </row>
    <row r="35">
      <c r="A35" s="20">
        <f>IFERROR(__xludf.DUMMYFUNCTION("""COMPUTED_VALUE"""),101.0)</f>
        <v>101</v>
      </c>
      <c r="B35" s="20" t="str">
        <f>IFERROR(__xludf.DUMMYFUNCTION("""COMPUTED_VALUE"""),"FRAN BELTRÁN")</f>
        <v>FRAN BELTRÁN</v>
      </c>
      <c r="C35" s="20" t="str">
        <f>IFERROR(__xludf.DUMMYFUNCTION("""COMPUTED_VALUE"""),"RC CELTA")</f>
        <v>RC CELTA</v>
      </c>
    </row>
    <row r="36">
      <c r="A36" s="20">
        <f>IFERROR(__xludf.DUMMYFUNCTION("""COMPUTED_VALUE"""),107.0)</f>
        <v>107</v>
      </c>
      <c r="B36" s="20" t="str">
        <f>IFERROR(__xludf.DUMMYFUNCTION("""COMPUTED_VALUE"""),"BORJA IGLESIAS")</f>
        <v>BORJA IGLESIAS</v>
      </c>
      <c r="C36" s="20" t="str">
        <f>IFERROR(__xludf.DUMMYFUNCTION("""COMPUTED_VALUE"""),"RC CELTA")</f>
        <v>RC CELTA</v>
      </c>
    </row>
    <row r="37">
      <c r="A37" s="20">
        <f>IFERROR(__xludf.DUMMYFUNCTION("""COMPUTED_VALUE"""),113.0)</f>
        <v>113</v>
      </c>
      <c r="B37" s="20" t="str">
        <f>IFERROR(__xludf.DUMMYFUNCTION("""COMPUTED_VALUE"""),"CHUST")</f>
        <v>CHUST</v>
      </c>
      <c r="C37" s="20" t="str">
        <f>IFERROR(__xludf.DUMMYFUNCTION("""COMPUTED_VALUE"""),"ELCHE CF")</f>
        <v>ELCHE CF</v>
      </c>
    </row>
    <row r="38">
      <c r="A38" s="20">
        <f>IFERROR(__xludf.DUMMYFUNCTION("""COMPUTED_VALUE"""),114.0)</f>
        <v>114</v>
      </c>
      <c r="B38" s="20" t="str">
        <f>IFERROR(__xludf.DUMMYFUNCTION("""COMPUTED_VALUE"""),"BIGAS")</f>
        <v>BIGAS</v>
      </c>
      <c r="C38" s="20" t="str">
        <f>IFERROR(__xludf.DUMMYFUNCTION("""COMPUTED_VALUE"""),"ELCHE CF")</f>
        <v>ELCHE CF</v>
      </c>
    </row>
    <row r="39">
      <c r="A39" s="20">
        <f>IFERROR(__xludf.DUMMYFUNCTION("""COMPUTED_VALUE"""),118.0)</f>
        <v>118</v>
      </c>
      <c r="B39" s="20" t="str">
        <f>IFERROR(__xludf.DUMMYFUNCTION("""COMPUTED_VALUE"""),"GERMÁN VALERA")</f>
        <v>GERMÁN VALERA</v>
      </c>
      <c r="C39" s="20" t="str">
        <f>IFERROR(__xludf.DUMMYFUNCTION("""COMPUTED_VALUE"""),"ELCHE CF")</f>
        <v>ELCHE CF</v>
      </c>
    </row>
    <row r="40">
      <c r="A40" s="20">
        <f>IFERROR(__xludf.DUMMYFUNCTION("""COMPUTED_VALUE"""),119.0)</f>
        <v>119</v>
      </c>
      <c r="B40" s="20" t="str">
        <f>IFERROR(__xludf.DUMMYFUNCTION("""COMPUTED_VALUE"""),"MARTIM NETO")</f>
        <v>MARTIM NETO</v>
      </c>
      <c r="C40" s="20" t="str">
        <f>IFERROR(__xludf.DUMMYFUNCTION("""COMPUTED_VALUE"""),"ELCHE CF")</f>
        <v>ELCHE CF</v>
      </c>
    </row>
    <row r="41">
      <c r="A41" s="20">
        <f>IFERROR(__xludf.DUMMYFUNCTION("""COMPUTED_VALUE"""),120.0)</f>
        <v>120</v>
      </c>
      <c r="B41" s="20" t="str">
        <f>IFERROR(__xludf.DUMMYFUNCTION("""COMPUTED_VALUE"""),"FEBAS")</f>
        <v>FEBAS</v>
      </c>
      <c r="C41" s="20" t="str">
        <f>IFERROR(__xludf.DUMMYFUNCTION("""COMPUTED_VALUE"""),"ELCHE CF")</f>
        <v>ELCHE CF</v>
      </c>
    </row>
    <row r="42">
      <c r="A42" s="20">
        <f>IFERROR(__xludf.DUMMYFUNCTION("""COMPUTED_VALUE"""),128.0)</f>
        <v>128</v>
      </c>
      <c r="B42" s="20" t="str">
        <f>IFERROR(__xludf.DUMMYFUNCTION("""COMPUTED_VALUE"""),"DMITROVIC")</f>
        <v>DMITROVIC</v>
      </c>
      <c r="C42" s="20" t="str">
        <f>IFERROR(__xludf.DUMMYFUNCTION("""COMPUTED_VALUE"""),"RCD ESPANYOL")</f>
        <v>RCD ESPANYOL</v>
      </c>
    </row>
    <row r="43">
      <c r="A43" s="20">
        <f>IFERROR(__xludf.DUMMYFUNCTION("""COMPUTED_VALUE"""),132.0)</f>
        <v>132</v>
      </c>
      <c r="B43" s="20" t="str">
        <f>IFERROR(__xludf.DUMMYFUNCTION("""COMPUTED_VALUE"""),"RIEDEL")</f>
        <v>RIEDEL</v>
      </c>
      <c r="C43" s="20" t="str">
        <f>IFERROR(__xludf.DUMMYFUNCTION("""COMPUTED_VALUE"""),"RCD ESPANYOL")</f>
        <v>RCD ESPANYOL</v>
      </c>
    </row>
    <row r="44">
      <c r="A44" s="20">
        <f>IFERROR(__xludf.DUMMYFUNCTION("""COMPUTED_VALUE"""),133.0)</f>
        <v>133</v>
      </c>
      <c r="B44" s="20" t="str">
        <f>IFERROR(__xludf.DUMMYFUNCTION("""COMPUTED_VALUE"""),"CABRERA")</f>
        <v>CABRERA</v>
      </c>
      <c r="C44" s="20" t="str">
        <f>IFERROR(__xludf.DUMMYFUNCTION("""COMPUTED_VALUE"""),"RCD ESPANYOL")</f>
        <v>RCD ESPANYOL</v>
      </c>
    </row>
    <row r="45">
      <c r="A45" s="20">
        <f>IFERROR(__xludf.DUMMYFUNCTION("""COMPUTED_VALUE"""),143.0)</f>
        <v>143</v>
      </c>
      <c r="B45" s="20" t="str">
        <f>IFERROR(__xludf.DUMMYFUNCTION("""COMPUTED_VALUE"""),"PUADO")</f>
        <v>PUADO</v>
      </c>
      <c r="C45" s="20" t="str">
        <f>IFERROR(__xludf.DUMMYFUNCTION("""COMPUTED_VALUE"""),"RCD ESPANYOL")</f>
        <v>RCD ESPANYOL</v>
      </c>
    </row>
    <row r="46">
      <c r="A46" s="20">
        <f>IFERROR(__xludf.DUMMYFUNCTION("""COMPUTED_VALUE"""),145.0)</f>
        <v>145</v>
      </c>
      <c r="B46" s="20" t="str">
        <f>IFERROR(__xludf.DUMMYFUNCTION("""COMPUTED_VALUE"""),"ESCUDO")</f>
        <v>ESCUDO</v>
      </c>
      <c r="C46" s="20" t="str">
        <f>IFERROR(__xludf.DUMMYFUNCTION("""COMPUTED_VALUE"""),"GETAFE CF")</f>
        <v>GETAFE CF</v>
      </c>
    </row>
    <row r="47">
      <c r="A47" s="20">
        <f>IFERROR(__xludf.DUMMYFUNCTION("""COMPUTED_VALUE"""),148.0)</f>
        <v>148</v>
      </c>
      <c r="B47" s="20" t="str">
        <f>IFERROR(__xludf.DUMMYFUNCTION("""COMPUTED_VALUE"""),"IGLESIAS")</f>
        <v>IGLESIAS</v>
      </c>
      <c r="C47" s="20" t="str">
        <f>IFERROR(__xludf.DUMMYFUNCTION("""COMPUTED_VALUE"""),"GETAFE CF")</f>
        <v>GETAFE CF</v>
      </c>
    </row>
    <row r="48">
      <c r="A48" s="20">
        <f>IFERROR(__xludf.DUMMYFUNCTION("""COMPUTED_VALUE"""),149.0)</f>
        <v>149</v>
      </c>
      <c r="B48" s="20" t="str">
        <f>IFERROR(__xludf.DUMMYFUNCTION("""COMPUTED_VALUE"""),"KIKO FEMENÍA")</f>
        <v>KIKO FEMENÍA</v>
      </c>
      <c r="C48" s="20" t="str">
        <f>IFERROR(__xludf.DUMMYFUNCTION("""COMPUTED_VALUE"""),"GETAFE CF")</f>
        <v>GETAFE CF</v>
      </c>
    </row>
    <row r="49">
      <c r="A49" s="20">
        <f>IFERROR(__xludf.DUMMYFUNCTION("""COMPUTED_VALUE"""),150.0)</f>
        <v>150</v>
      </c>
      <c r="B49" s="20" t="str">
        <f>IFERROR(__xludf.DUMMYFUNCTION("""COMPUTED_VALUE"""),"DJENÉ")</f>
        <v>DJENÉ</v>
      </c>
      <c r="C49" s="20" t="str">
        <f>IFERROR(__xludf.DUMMYFUNCTION("""COMPUTED_VALUE"""),"GETAFE CF")</f>
        <v>GETAFE CF</v>
      </c>
    </row>
    <row r="50">
      <c r="A50" s="20">
        <f>IFERROR(__xludf.DUMMYFUNCTION("""COMPUTED_VALUE"""),151.0)</f>
        <v>151</v>
      </c>
      <c r="B50" s="20" t="str">
        <f>IFERROR(__xludf.DUMMYFUNCTION("""COMPUTED_VALUE"""),"DOMINGOS DUARTE")</f>
        <v>DOMINGOS DUARTE</v>
      </c>
      <c r="C50" s="20" t="str">
        <f>IFERROR(__xludf.DUMMYFUNCTION("""COMPUTED_VALUE"""),"GETAFE CF")</f>
        <v>GETAFE CF</v>
      </c>
    </row>
    <row r="51">
      <c r="A51" s="20">
        <f>IFERROR(__xludf.DUMMYFUNCTION("""COMPUTED_VALUE"""),155.0)</f>
        <v>155</v>
      </c>
      <c r="B51" s="20" t="str">
        <f>IFERROR(__xludf.DUMMYFUNCTION("""COMPUTED_VALUE"""),"MARIO MARTÍN")</f>
        <v>MARIO MARTÍN</v>
      </c>
      <c r="C51" s="20" t="str">
        <f>IFERROR(__xludf.DUMMYFUNCTION("""COMPUTED_VALUE"""),"GETAFE CF")</f>
        <v>GETAFE CF</v>
      </c>
    </row>
    <row r="52">
      <c r="A52" s="20">
        <f>IFERROR(__xludf.DUMMYFUNCTION("""COMPUTED_VALUE"""),157.0)</f>
        <v>157</v>
      </c>
      <c r="B52" s="20" t="str">
        <f>IFERROR(__xludf.DUMMYFUNCTION("""COMPUTED_VALUE"""),"MILLA")</f>
        <v>MILLA</v>
      </c>
      <c r="C52" s="20" t="str">
        <f>IFERROR(__xludf.DUMMYFUNCTION("""COMPUTED_VALUE"""),"GETAFE CF")</f>
        <v>GETAFE CF</v>
      </c>
    </row>
    <row r="53">
      <c r="A53" s="20">
        <f>IFERROR(__xludf.DUMMYFUNCTION("""COMPUTED_VALUE"""),161.0)</f>
        <v>161</v>
      </c>
      <c r="B53" s="20" t="str">
        <f>IFERROR(__xludf.DUMMYFUNCTION("""COMPUTED_VALUE"""),"LISO")</f>
        <v>LISO</v>
      </c>
      <c r="C53" s="20" t="str">
        <f>IFERROR(__xludf.DUMMYFUNCTION("""COMPUTED_VALUE"""),"GETAFE CF")</f>
        <v>GETAFE CF</v>
      </c>
    </row>
    <row r="54">
      <c r="A54" s="20">
        <f>IFERROR(__xludf.DUMMYFUNCTION("""COMPUTED_VALUE"""),162.0)</f>
        <v>162</v>
      </c>
      <c r="B54" s="20" t="str">
        <f>IFERROR(__xludf.DUMMYFUNCTION("""COMPUTED_VALUE"""),"COBA")</f>
        <v>COBA</v>
      </c>
      <c r="C54" s="20" t="str">
        <f>IFERROR(__xludf.DUMMYFUNCTION("""COMPUTED_VALUE"""),"GETAFE CF")</f>
        <v>GETAFE CF</v>
      </c>
    </row>
    <row r="55">
      <c r="A55" s="20">
        <f>IFERROR(__xludf.DUMMYFUNCTION("""COMPUTED_VALUE"""),164.0)</f>
        <v>164</v>
      </c>
      <c r="B55" s="20" t="str">
        <f>IFERROR(__xludf.DUMMYFUNCTION("""COMPUTED_VALUE"""),"GAZZANIGA")</f>
        <v>GAZZANIGA</v>
      </c>
      <c r="C55" s="20" t="str">
        <f>IFERROR(__xludf.DUMMYFUNCTION("""COMPUTED_VALUE"""),"GIRONA FC")</f>
        <v>GIRONA FC</v>
      </c>
    </row>
    <row r="56">
      <c r="A56" s="20">
        <f>IFERROR(__xludf.DUMMYFUNCTION("""COMPUTED_VALUE"""),167.0)</f>
        <v>167</v>
      </c>
      <c r="B56" s="20" t="str">
        <f>IFERROR(__xludf.DUMMYFUNCTION("""COMPUTED_VALUE"""),"HUGO RINCÓN")</f>
        <v>HUGO RINCÓN</v>
      </c>
      <c r="C56" s="20" t="str">
        <f>IFERROR(__xludf.DUMMYFUNCTION("""COMPUTED_VALUE"""),"GIRONA FC")</f>
        <v>GIRONA FC</v>
      </c>
    </row>
    <row r="57">
      <c r="A57" s="20">
        <f>IFERROR(__xludf.DUMMYFUNCTION("""COMPUTED_VALUE"""),168.0)</f>
        <v>168</v>
      </c>
      <c r="B57" s="20" t="str">
        <f>IFERROR(__xludf.DUMMYFUNCTION("""COMPUTED_VALUE"""),"VITOR REIS")</f>
        <v>VITOR REIS</v>
      </c>
      <c r="C57" s="20" t="str">
        <f>IFERROR(__xludf.DUMMYFUNCTION("""COMPUTED_VALUE"""),"GIRONA FC")</f>
        <v>GIRONA FC</v>
      </c>
    </row>
    <row r="58">
      <c r="A58" s="20">
        <f>IFERROR(__xludf.DUMMYFUNCTION("""COMPUTED_VALUE"""),169.0)</f>
        <v>169</v>
      </c>
      <c r="B58" s="20" t="str">
        <f>IFERROR(__xludf.DUMMYFUNCTION("""COMPUTED_VALUE"""),"BLIND")</f>
        <v>BLIND</v>
      </c>
      <c r="C58" s="20" t="str">
        <f>IFERROR(__xludf.DUMMYFUNCTION("""COMPUTED_VALUE"""),"GIRONA FC")</f>
        <v>GIRONA FC</v>
      </c>
    </row>
    <row r="59">
      <c r="A59" s="20">
        <f>IFERROR(__xludf.DUMMYFUNCTION("""COMPUTED_VALUE"""),178.0)</f>
        <v>178</v>
      </c>
      <c r="B59" s="20" t="str">
        <f>IFERROR(__xludf.DUMMYFUNCTION("""COMPUTED_VALUE"""),"VANAT")</f>
        <v>VANAT</v>
      </c>
      <c r="C59" s="20" t="str">
        <f>IFERROR(__xludf.DUMMYFUNCTION("""COMPUTED_VALUE"""),"GIRONA FC")</f>
        <v>GIRONA FC</v>
      </c>
    </row>
    <row r="60">
      <c r="A60" s="20">
        <f>IFERROR(__xludf.DUMMYFUNCTION("""COMPUTED_VALUE"""),182.0)</f>
        <v>182</v>
      </c>
      <c r="B60" s="20" t="str">
        <f>IFERROR(__xludf.DUMMYFUNCTION("""COMPUTED_VALUE"""),"RYAN")</f>
        <v>RYAN</v>
      </c>
      <c r="C60" s="20" t="str">
        <f>IFERROR(__xludf.DUMMYFUNCTION("""COMPUTED_VALUE"""),"LEVANTE UD")</f>
        <v>LEVANTE UD</v>
      </c>
    </row>
    <row r="61">
      <c r="A61" s="20">
        <f>IFERROR(__xludf.DUMMYFUNCTION("""COMPUTED_VALUE"""),183.0)</f>
        <v>183</v>
      </c>
      <c r="B61" s="20" t="str">
        <f>IFERROR(__xludf.DUMMYFUNCTION("""COMPUTED_VALUE"""),"PABLO CAMPOS")</f>
        <v>PABLO CAMPOS</v>
      </c>
      <c r="C61" s="20" t="str">
        <f>IFERROR(__xludf.DUMMYFUNCTION("""COMPUTED_VALUE"""),"LEVANTE UD")</f>
        <v>LEVANTE UD</v>
      </c>
    </row>
    <row r="62">
      <c r="A62" s="20">
        <f>IFERROR(__xludf.DUMMYFUNCTION("""COMPUTED_VALUE"""),186.0)</f>
        <v>186</v>
      </c>
      <c r="B62" s="20" t="str">
        <f>IFERROR(__xludf.DUMMYFUNCTION("""COMPUTED_VALUE"""),"ELGEZABAL")</f>
        <v>ELGEZABAL</v>
      </c>
      <c r="C62" s="20" t="str">
        <f>IFERROR(__xludf.DUMMYFUNCTION("""COMPUTED_VALUE"""),"LEVANTE UD")</f>
        <v>LEVANTE UD</v>
      </c>
    </row>
    <row r="63">
      <c r="A63" s="20">
        <f>IFERROR(__xludf.DUMMYFUNCTION("""COMPUTED_VALUE"""),191.0)</f>
        <v>191</v>
      </c>
      <c r="B63" s="20" t="str">
        <f>IFERROR(__xludf.DUMMYFUNCTION("""COMPUTED_VALUE"""),"PABLO MARTÍNEZ")</f>
        <v>PABLO MARTÍNEZ</v>
      </c>
      <c r="C63" s="20" t="str">
        <f>IFERROR(__xludf.DUMMYFUNCTION("""COMPUTED_VALUE"""),"LEVANTE UD")</f>
        <v>LEVANTE UD</v>
      </c>
    </row>
    <row r="64">
      <c r="A64" s="20">
        <f>IFERROR(__xludf.DUMMYFUNCTION("""COMPUTED_VALUE"""),196.0)</f>
        <v>196</v>
      </c>
      <c r="B64" s="20" t="str">
        <f>IFERROR(__xludf.DUMMYFUNCTION("""COMPUTED_VALUE"""),"BRUGUÉ")</f>
        <v>BRUGUÉ</v>
      </c>
      <c r="C64" s="20" t="str">
        <f>IFERROR(__xludf.DUMMYFUNCTION("""COMPUTED_VALUE"""),"LEVANTE UD")</f>
        <v>LEVANTE UD</v>
      </c>
    </row>
    <row r="65">
      <c r="A65" s="20">
        <f>IFERROR(__xludf.DUMMYFUNCTION("""COMPUTED_VALUE"""),198.0)</f>
        <v>198</v>
      </c>
      <c r="B65" s="20" t="str">
        <f>IFERROR(__xludf.DUMMYFUNCTION("""COMPUTED_VALUE"""),"ETTA EYONG")</f>
        <v>ETTA EYONG</v>
      </c>
      <c r="C65" s="20" t="str">
        <f>IFERROR(__xludf.DUMMYFUNCTION("""COMPUTED_VALUE"""),"LEVANTE UD")</f>
        <v>LEVANTE UD</v>
      </c>
    </row>
    <row r="66">
      <c r="A66" s="20">
        <f>IFERROR(__xludf.DUMMYFUNCTION("""COMPUTED_VALUE"""),201.0)</f>
        <v>201</v>
      </c>
      <c r="B66" s="20" t="str">
        <f>IFERROR(__xludf.DUMMYFUNCTION("""COMPUTED_VALUE"""),"LUNIN")</f>
        <v>LUNIN</v>
      </c>
      <c r="C66" s="20" t="str">
        <f>IFERROR(__xludf.DUMMYFUNCTION("""COMPUTED_VALUE"""),"REAL MADRID")</f>
        <v>REAL MADRID</v>
      </c>
    </row>
    <row r="67">
      <c r="A67" s="20">
        <f>IFERROR(__xludf.DUMMYFUNCTION("""COMPUTED_VALUE"""),205.0)</f>
        <v>205</v>
      </c>
      <c r="B67" s="20" t="str">
        <f>IFERROR(__xludf.DUMMYFUNCTION("""COMPUTED_VALUE"""),"HUIJSEN")</f>
        <v>HUIJSEN</v>
      </c>
      <c r="C67" s="20" t="str">
        <f>IFERROR(__xludf.DUMMYFUNCTION("""COMPUTED_VALUE"""),"REAL MADRID")</f>
        <v>REAL MADRID</v>
      </c>
    </row>
    <row r="68">
      <c r="A68" s="20">
        <f>IFERROR(__xludf.DUMMYFUNCTION("""COMPUTED_VALUE"""),214.0)</f>
        <v>214</v>
      </c>
      <c r="B68" s="20" t="str">
        <f>IFERROR(__xludf.DUMMYFUNCTION("""COMPUTED_VALUE"""),"MBAPPÉ")</f>
        <v>MBAPPÉ</v>
      </c>
      <c r="C68" s="20" t="str">
        <f>IFERROR(__xludf.DUMMYFUNCTION("""COMPUTED_VALUE"""),"REAL MADRID")</f>
        <v>REAL MADRID</v>
      </c>
    </row>
    <row r="69">
      <c r="A69" s="20">
        <f>IFERROR(__xludf.DUMMYFUNCTION("""COMPUTED_VALUE"""),217.0)</f>
        <v>217</v>
      </c>
      <c r="B69" s="20" t="str">
        <f>IFERROR(__xludf.DUMMYFUNCTION("""COMPUTED_VALUE"""),"ESCUDO")</f>
        <v>ESCUDO</v>
      </c>
      <c r="C69" s="20" t="str">
        <f>IFERROR(__xludf.DUMMYFUNCTION("""COMPUTED_VALUE"""),"RCD MALLORCA")</f>
        <v>RCD MALLORCA</v>
      </c>
    </row>
    <row r="70">
      <c r="A70" s="20">
        <f>IFERROR(__xludf.DUMMYFUNCTION("""COMPUTED_VALUE"""),218.0)</f>
        <v>218</v>
      </c>
      <c r="B70" s="20" t="str">
        <f>IFERROR(__xludf.DUMMYFUNCTION("""COMPUTED_VALUE"""),"LEO ROMÁN")</f>
        <v>LEO ROMÁN</v>
      </c>
      <c r="C70" s="20" t="str">
        <f>IFERROR(__xludf.DUMMYFUNCTION("""COMPUTED_VALUE"""),"RCD MALLORCA")</f>
        <v>RCD MALLORCA</v>
      </c>
    </row>
    <row r="71">
      <c r="A71" s="20">
        <f>IFERROR(__xludf.DUMMYFUNCTION("""COMPUTED_VALUE"""),224.0)</f>
        <v>224</v>
      </c>
      <c r="B71" s="20" t="str">
        <f>IFERROR(__xludf.DUMMYFUNCTION("""COMPUTED_VALUE"""),"KUMBULLA")</f>
        <v>KUMBULLA</v>
      </c>
      <c r="C71" s="20" t="str">
        <f>IFERROR(__xludf.DUMMYFUNCTION("""COMPUTED_VALUE"""),"RCD MALLORCA")</f>
        <v>RCD MALLORCA</v>
      </c>
    </row>
    <row r="72">
      <c r="A72" s="20">
        <f>IFERROR(__xludf.DUMMYFUNCTION("""COMPUTED_VALUE"""),229.0)</f>
        <v>229</v>
      </c>
      <c r="B72" s="20" t="str">
        <f>IFERROR(__xludf.DUMMYFUNCTION("""COMPUTED_VALUE"""),"MORLANES")</f>
        <v>MORLANES</v>
      </c>
      <c r="C72" s="20" t="str">
        <f>IFERROR(__xludf.DUMMYFUNCTION("""COMPUTED_VALUE"""),"RCD MALLORCA")</f>
        <v>RCD MALLORCA</v>
      </c>
    </row>
    <row r="73">
      <c r="A73" s="20">
        <f>IFERROR(__xludf.DUMMYFUNCTION("""COMPUTED_VALUE"""),231.0)</f>
        <v>231</v>
      </c>
      <c r="B73" s="20" t="str">
        <f>IFERROR(__xludf.DUMMYFUNCTION("""COMPUTED_VALUE"""),"ASANO")</f>
        <v>ASANO</v>
      </c>
      <c r="C73" s="20" t="str">
        <f>IFERROR(__xludf.DUMMYFUNCTION("""COMPUTED_VALUE"""),"RCD MALLORCA")</f>
        <v>RCD MALLORCA</v>
      </c>
    </row>
    <row r="74">
      <c r="A74" s="20">
        <f>IFERROR(__xludf.DUMMYFUNCTION("""COMPUTED_VALUE"""),232.0)</f>
        <v>232</v>
      </c>
      <c r="B74" s="20" t="str">
        <f>IFERROR(__xludf.DUMMYFUNCTION("""COMPUTED_VALUE"""),"MURIQI")</f>
        <v>MURIQI</v>
      </c>
      <c r="C74" s="20" t="str">
        <f>IFERROR(__xludf.DUMMYFUNCTION("""COMPUTED_VALUE"""),"RCD MALLORCA")</f>
        <v>RCD MALLORCA</v>
      </c>
    </row>
    <row r="75">
      <c r="A75" s="20">
        <f>IFERROR(__xludf.DUMMYFUNCTION("""COMPUTED_VALUE"""),233.0)</f>
        <v>233</v>
      </c>
      <c r="B75" s="20" t="str">
        <f>IFERROR(__xludf.DUMMYFUNCTION("""COMPUTED_VALUE"""),"MATEO JOSEPH")</f>
        <v>MATEO JOSEPH</v>
      </c>
      <c r="C75" s="20" t="str">
        <f>IFERROR(__xludf.DUMMYFUNCTION("""COMPUTED_VALUE"""),"RCD MALLORCA")</f>
        <v>RCD MALLORCA</v>
      </c>
    </row>
    <row r="76">
      <c r="A76" s="20">
        <f>IFERROR(__xludf.DUMMYFUNCTION("""COMPUTED_VALUE"""),239.0)</f>
        <v>239</v>
      </c>
      <c r="B76" s="20" t="str">
        <f>IFERROR(__xludf.DUMMYFUNCTION("""COMPUTED_VALUE"""),"BOYOMO")</f>
        <v>BOYOMO</v>
      </c>
      <c r="C76" s="20" t="str">
        <f>IFERROR(__xludf.DUMMYFUNCTION("""COMPUTED_VALUE"""),"CA OSASUNA")</f>
        <v>CA OSASUNA</v>
      </c>
    </row>
    <row r="77">
      <c r="A77" s="20">
        <f>IFERROR(__xludf.DUMMYFUNCTION("""COMPUTED_VALUE"""),241.0)</f>
        <v>241</v>
      </c>
      <c r="B77" s="20" t="str">
        <f>IFERROR(__xludf.DUMMYFUNCTION("""COMPUTED_VALUE"""),"HERRANDO")</f>
        <v>HERRANDO</v>
      </c>
      <c r="C77" s="20" t="str">
        <f>IFERROR(__xludf.DUMMYFUNCTION("""COMPUTED_VALUE"""),"CA OSASUNA")</f>
        <v>CA OSASUNA</v>
      </c>
    </row>
    <row r="78">
      <c r="A78" s="20">
        <f>IFERROR(__xludf.DUMMYFUNCTION("""COMPUTED_VALUE"""),242.0)</f>
        <v>242</v>
      </c>
      <c r="B78" s="20" t="str">
        <f>IFERROR(__xludf.DUMMYFUNCTION("""COMPUTED_VALUE"""),"JUAN CRUZ")</f>
        <v>JUAN CRUZ</v>
      </c>
      <c r="C78" s="20" t="str">
        <f>IFERROR(__xludf.DUMMYFUNCTION("""COMPUTED_VALUE"""),"CA OSASUNA")</f>
        <v>CA OSASUNA</v>
      </c>
    </row>
    <row r="79">
      <c r="A79" s="20">
        <f>IFERROR(__xludf.DUMMYFUNCTION("""COMPUTED_VALUE"""),253.0)</f>
        <v>253</v>
      </c>
      <c r="B79" s="20" t="str">
        <f>IFERROR(__xludf.DUMMYFUNCTION("""COMPUTED_VALUE"""),"ESCUDO")</f>
        <v>ESCUDO</v>
      </c>
      <c r="C79" s="20" t="str">
        <f>IFERROR(__xludf.DUMMYFUNCTION("""COMPUTED_VALUE"""),"REAL OVIEDO")</f>
        <v>REAL OVIEDO</v>
      </c>
    </row>
    <row r="80">
      <c r="A80" s="20">
        <f>IFERROR(__xludf.DUMMYFUNCTION("""COMPUTED_VALUE"""),254.0)</f>
        <v>254</v>
      </c>
      <c r="B80" s="20" t="str">
        <f>IFERROR(__xludf.DUMMYFUNCTION("""COMPUTED_VALUE"""),"AARON ESCANDELL")</f>
        <v>AARON ESCANDELL</v>
      </c>
      <c r="C80" s="20" t="str">
        <f>IFERROR(__xludf.DUMMYFUNCTION("""COMPUTED_VALUE"""),"REAL OVIEDO")</f>
        <v>REAL OVIEDO</v>
      </c>
    </row>
    <row r="81">
      <c r="A81" s="20">
        <f>IFERROR(__xludf.DUMMYFUNCTION("""COMPUTED_VALUE"""),260.0)</f>
        <v>260</v>
      </c>
      <c r="B81" s="20" t="str">
        <f>IFERROR(__xludf.DUMMYFUNCTION("""COMPUTED_VALUE"""),"RAHIM ALHASSANE")</f>
        <v>RAHIM ALHASSANE</v>
      </c>
      <c r="C81" s="20" t="str">
        <f>IFERROR(__xludf.DUMMYFUNCTION("""COMPUTED_VALUE"""),"REAL OVIEDO")</f>
        <v>REAL OVIEDO</v>
      </c>
    </row>
    <row r="82">
      <c r="A82" s="20">
        <f>IFERROR(__xludf.DUMMYFUNCTION("""COMPUTED_VALUE"""),261.0)</f>
        <v>261</v>
      </c>
      <c r="B82" s="20" t="str">
        <f>IFERROR(__xludf.DUMMYFUNCTION("""COMPUTED_VALUE"""),"COLOMBATTO")</f>
        <v>COLOMBATTO</v>
      </c>
      <c r="C82" s="20" t="str">
        <f>IFERROR(__xludf.DUMMYFUNCTION("""COMPUTED_VALUE"""),"REAL OVIEDO")</f>
        <v>REAL OVIEDO</v>
      </c>
    </row>
    <row r="83">
      <c r="A83" s="20">
        <f>IFERROR(__xludf.DUMMYFUNCTION("""COMPUTED_VALUE"""),263.0)</f>
        <v>263</v>
      </c>
      <c r="B83" s="20" t="str">
        <f>IFERROR(__xludf.DUMMYFUNCTION("""COMPUTED_VALUE"""),"DENDONCKER")</f>
        <v>DENDONCKER</v>
      </c>
      <c r="C83" s="20" t="str">
        <f>IFERROR(__xludf.DUMMYFUNCTION("""COMPUTED_VALUE"""),"REAL OVIEDO")</f>
        <v>REAL OVIEDO</v>
      </c>
    </row>
    <row r="84">
      <c r="A84" s="20">
        <f>IFERROR(__xludf.DUMMYFUNCTION("""COMPUTED_VALUE"""),266.0)</f>
        <v>266</v>
      </c>
      <c r="B84" s="20" t="str">
        <f>IFERROR(__xludf.DUMMYFUNCTION("""COMPUTED_VALUE"""),"HASSAN")</f>
        <v>HASSAN</v>
      </c>
      <c r="C84" s="20" t="str">
        <f>IFERROR(__xludf.DUMMYFUNCTION("""COMPUTED_VALUE"""),"REAL OVIEDO")</f>
        <v>REAL OVIEDO</v>
      </c>
    </row>
    <row r="85">
      <c r="A85" s="20">
        <f>IFERROR(__xludf.DUMMYFUNCTION("""COMPUTED_VALUE"""),268.0)</f>
        <v>268</v>
      </c>
      <c r="B85" s="20" t="str">
        <f>IFERROR(__xludf.DUMMYFUNCTION("""COMPUTED_VALUE"""),"ILYAS CHAIRA")</f>
        <v>ILYAS CHAIRA</v>
      </c>
      <c r="C85" s="20" t="str">
        <f>IFERROR(__xludf.DUMMYFUNCTION("""COMPUTED_VALUE"""),"REAL OVIEDO")</f>
        <v>REAL OVIEDO</v>
      </c>
    </row>
    <row r="86">
      <c r="A86" s="20">
        <f>IFERROR(__xludf.DUMMYFUNCTION("""COMPUTED_VALUE"""),271.0)</f>
        <v>271</v>
      </c>
      <c r="B86" s="20" t="str">
        <f>IFERROR(__xludf.DUMMYFUNCTION("""COMPUTED_VALUE"""),"ESCUDO")</f>
        <v>ESCUDO</v>
      </c>
      <c r="C86" s="20" t="str">
        <f>IFERROR(__xludf.DUMMYFUNCTION("""COMPUTED_VALUE"""),"RAYO VALLECANO")</f>
        <v>RAYO VALLECANO</v>
      </c>
    </row>
    <row r="87">
      <c r="A87" s="20">
        <f>IFERROR(__xludf.DUMMYFUNCTION("""COMPUTED_VALUE"""),273.0)</f>
        <v>273</v>
      </c>
      <c r="B87" s="20" t="str">
        <f>IFERROR(__xludf.DUMMYFUNCTION("""COMPUTED_VALUE"""),"CÁRDENAS")</f>
        <v>CÁRDENAS</v>
      </c>
      <c r="C87" s="20" t="str">
        <f>IFERROR(__xludf.DUMMYFUNCTION("""COMPUTED_VALUE"""),"RAYO VALLECANO")</f>
        <v>RAYO VALLECANO</v>
      </c>
    </row>
    <row r="88">
      <c r="A88" s="20">
        <f>IFERROR(__xludf.DUMMYFUNCTION("""COMPUTED_VALUE"""),276.0)</f>
        <v>276</v>
      </c>
      <c r="B88" s="20" t="str">
        <f>IFERROR(__xludf.DUMMYFUNCTION("""COMPUTED_VALUE"""),"LEJEUNE")</f>
        <v>LEJEUNE</v>
      </c>
      <c r="C88" s="20" t="str">
        <f>IFERROR(__xludf.DUMMYFUNCTION("""COMPUTED_VALUE"""),"RAYO VALLECANO")</f>
        <v>RAYO VALLECANO</v>
      </c>
    </row>
    <row r="89">
      <c r="A89" s="20">
        <f>IFERROR(__xludf.DUMMYFUNCTION("""COMPUTED_VALUE"""),279.0)</f>
        <v>279</v>
      </c>
      <c r="B89" s="20" t="str">
        <f>IFERROR(__xludf.DUMMYFUNCTION("""COMPUTED_VALUE"""),"PATHÉ CISS")</f>
        <v>PATHÉ CISS</v>
      </c>
      <c r="C89" s="20" t="str">
        <f>IFERROR(__xludf.DUMMYFUNCTION("""COMPUTED_VALUE"""),"RAYO VALLECANO")</f>
        <v>RAYO VALLECANO</v>
      </c>
    </row>
    <row r="90">
      <c r="A90" s="20">
        <f>IFERROR(__xludf.DUMMYFUNCTION("""COMPUTED_VALUE"""),280.0)</f>
        <v>280</v>
      </c>
      <c r="B90" s="20" t="str">
        <f>IFERROR(__xludf.DUMMYFUNCTION("""COMPUTED_VALUE"""),"UNAI LOPEZ")</f>
        <v>UNAI LOPEZ</v>
      </c>
      <c r="C90" s="20" t="str">
        <f>IFERROR(__xludf.DUMMYFUNCTION("""COMPUTED_VALUE"""),"RAYO VALLECANO")</f>
        <v>RAYO VALLECANO</v>
      </c>
    </row>
    <row r="91">
      <c r="A91" s="20">
        <f>IFERROR(__xludf.DUMMYFUNCTION("""COMPUTED_VALUE"""),285.0)</f>
        <v>285</v>
      </c>
      <c r="B91" s="20" t="str">
        <f>IFERROR(__xludf.DUMMYFUNCTION("""COMPUTED_VALUE"""),"FRAN PÉREZ")</f>
        <v>FRAN PÉREZ</v>
      </c>
      <c r="C91" s="20" t="str">
        <f>IFERROR(__xludf.DUMMYFUNCTION("""COMPUTED_VALUE"""),"RAYO VALLECANO")</f>
        <v>RAYO VALLECANO</v>
      </c>
    </row>
    <row r="92">
      <c r="A92" s="20">
        <f>IFERROR(__xludf.DUMMYFUNCTION("""COMPUTED_VALUE"""),289.0)</f>
        <v>289</v>
      </c>
      <c r="B92" s="20" t="str">
        <f>IFERROR(__xludf.DUMMYFUNCTION("""COMPUTED_VALUE"""),"ESCUDO")</f>
        <v>ESCUDO</v>
      </c>
      <c r="C92" s="20" t="str">
        <f>IFERROR(__xludf.DUMMYFUNCTION("""COMPUTED_VALUE"""),"REAL SOCIEDAD")</f>
        <v>REAL SOCIEDAD</v>
      </c>
    </row>
    <row r="93">
      <c r="A93" s="20">
        <f>IFERROR(__xludf.DUMMYFUNCTION("""COMPUTED_VALUE"""),294.0)</f>
        <v>294</v>
      </c>
      <c r="B93" s="20" t="str">
        <f>IFERROR(__xludf.DUMMYFUNCTION("""COMPUTED_VALUE"""),"ZUBELDIA")</f>
        <v>ZUBELDIA</v>
      </c>
      <c r="C93" s="20" t="str">
        <f>IFERROR(__xludf.DUMMYFUNCTION("""COMPUTED_VALUE"""),"REAL SOCIEDAD")</f>
        <v>REAL SOCIEDAD</v>
      </c>
    </row>
    <row r="94">
      <c r="A94" s="20">
        <f>IFERROR(__xludf.DUMMYFUNCTION("""COMPUTED_VALUE"""),297.0)</f>
        <v>297</v>
      </c>
      <c r="B94" s="20" t="str">
        <f>IFERROR(__xludf.DUMMYFUNCTION("""COMPUTED_VALUE"""),"GORROTXATEGI")</f>
        <v>GORROTXATEGI</v>
      </c>
      <c r="C94" s="20" t="str">
        <f>IFERROR(__xludf.DUMMYFUNCTION("""COMPUTED_VALUE"""),"REAL SOCIEDAD")</f>
        <v>REAL SOCIEDAD</v>
      </c>
    </row>
    <row r="95">
      <c r="A95" s="20">
        <f>IFERROR(__xludf.DUMMYFUNCTION("""COMPUTED_VALUE"""),300.0)</f>
        <v>300</v>
      </c>
      <c r="B95" s="20" t="str">
        <f>IFERROR(__xludf.DUMMYFUNCTION("""COMPUTED_VALUE"""),"CARLOS SOLER")</f>
        <v>CARLOS SOLER</v>
      </c>
      <c r="C95" s="20" t="str">
        <f>IFERROR(__xludf.DUMMYFUNCTION("""COMPUTED_VALUE"""),"REAL SOCIEDAD")</f>
        <v>REAL SOCIEDAD</v>
      </c>
    </row>
    <row r="96">
      <c r="A96" s="20">
        <f>IFERROR(__xludf.DUMMYFUNCTION("""COMPUTED_VALUE"""),301.0)</f>
        <v>301</v>
      </c>
      <c r="B96" s="20" t="str">
        <f>IFERROR(__xludf.DUMMYFUNCTION("""COMPUTED_VALUE"""),"BRAIS MÉNDEZ")</f>
        <v>BRAIS MÉNDEZ</v>
      </c>
      <c r="C96" s="20" t="str">
        <f>IFERROR(__xludf.DUMMYFUNCTION("""COMPUTED_VALUE"""),"REAL SOCIEDAD")</f>
        <v>REAL SOCIEDAD</v>
      </c>
    </row>
    <row r="97">
      <c r="A97" s="20">
        <f>IFERROR(__xludf.DUMMYFUNCTION("""COMPUTED_VALUE"""),305.0)</f>
        <v>305</v>
      </c>
      <c r="B97" s="20" t="str">
        <f>IFERROR(__xludf.DUMMYFUNCTION("""COMPUTED_VALUE"""),"ÓSKARSSON")</f>
        <v>ÓSKARSSON</v>
      </c>
      <c r="C97" s="20" t="str">
        <f>IFERROR(__xludf.DUMMYFUNCTION("""COMPUTED_VALUE"""),"REAL SOCIEDAD")</f>
        <v>REAL SOCIEDAD</v>
      </c>
    </row>
    <row r="98">
      <c r="A98" s="20">
        <f>IFERROR(__xludf.DUMMYFUNCTION("""COMPUTED_VALUE"""),310.0)</f>
        <v>310</v>
      </c>
      <c r="B98" s="20" t="str">
        <f>IFERROR(__xludf.DUMMYFUNCTION("""COMPUTED_VALUE"""),"CARMONA")</f>
        <v>CARMONA</v>
      </c>
      <c r="C98" s="20" t="str">
        <f>IFERROR(__xludf.DUMMYFUNCTION("""COMPUTED_VALUE"""),"SEVILLA FC")</f>
        <v>SEVILLA FC</v>
      </c>
    </row>
    <row r="99">
      <c r="A99" s="20">
        <f>IFERROR(__xludf.DUMMYFUNCTION("""COMPUTED_VALUE"""),314.0)</f>
        <v>314</v>
      </c>
      <c r="B99" s="20" t="str">
        <f>IFERROR(__xludf.DUMMYFUNCTION("""COMPUTED_VALUE"""),"MARCAO")</f>
        <v>MARCAO</v>
      </c>
      <c r="C99" s="20" t="str">
        <f>IFERROR(__xludf.DUMMYFUNCTION("""COMPUTED_VALUE"""),"SEVILLA FC")</f>
        <v>SEVILLA FC</v>
      </c>
    </row>
    <row r="100">
      <c r="A100" s="20">
        <f>IFERROR(__xludf.DUMMYFUNCTION("""COMPUTED_VALUE"""),320.0)</f>
        <v>320</v>
      </c>
      <c r="B100" s="20" t="str">
        <f>IFERROR(__xludf.DUMMYFUNCTION("""COMPUTED_VALUE"""),"VARGAS")</f>
        <v>VARGAS</v>
      </c>
      <c r="C100" s="20" t="str">
        <f>IFERROR(__xludf.DUMMYFUNCTION("""COMPUTED_VALUE"""),"SEVILLA FC")</f>
        <v>SEVILLA FC</v>
      </c>
    </row>
    <row r="101">
      <c r="A101" s="20">
        <f>IFERROR(__xludf.DUMMYFUNCTION("""COMPUTED_VALUE"""),324.0)</f>
        <v>324</v>
      </c>
      <c r="B101" s="20" t="str">
        <f>IFERROR(__xludf.DUMMYFUNCTION("""COMPUTED_VALUE"""),"ALEXIS SÁNCHEZ")</f>
        <v>ALEXIS SÁNCHEZ</v>
      </c>
      <c r="C101" s="20" t="str">
        <f>IFERROR(__xludf.DUMMYFUNCTION("""COMPUTED_VALUE"""),"SEVILLA FC")</f>
        <v>SEVILLA FC</v>
      </c>
    </row>
    <row r="102">
      <c r="A102" s="20">
        <f>IFERROR(__xludf.DUMMYFUNCTION("""COMPUTED_VALUE"""),339.0)</f>
        <v>339</v>
      </c>
      <c r="B102" s="20" t="str">
        <f>IFERROR(__xludf.DUMMYFUNCTION("""COMPUTED_VALUE"""),"DIEGO LÓPEZ")</f>
        <v>DIEGO LÓPEZ</v>
      </c>
      <c r="C102" s="20" t="str">
        <f>IFERROR(__xludf.DUMMYFUNCTION("""COMPUTED_VALUE"""),"VALENCIA CF")</f>
        <v>VALENCIA CF</v>
      </c>
    </row>
    <row r="103">
      <c r="A103" s="20">
        <f>IFERROR(__xludf.DUMMYFUNCTION("""COMPUTED_VALUE"""),348.0)</f>
        <v>348</v>
      </c>
      <c r="B103" s="20" t="str">
        <f>IFERROR(__xludf.DUMMYFUNCTION("""COMPUTED_VALUE"""),"RAFA MARÍN")</f>
        <v>RAFA MARÍN</v>
      </c>
      <c r="C103" s="20" t="str">
        <f>IFERROR(__xludf.DUMMYFUNCTION("""COMPUTED_VALUE"""),"VILLARREAL CF")</f>
        <v>VILLARREAL CF</v>
      </c>
    </row>
    <row r="104">
      <c r="A104" s="20">
        <f>IFERROR(__xludf.DUMMYFUNCTION("""COMPUTED_VALUE"""),349.0)</f>
        <v>349</v>
      </c>
      <c r="B104" s="20" t="str">
        <f>IFERROR(__xludf.DUMMYFUNCTION("""COMPUTED_VALUE"""),"RENATO VEIGA")</f>
        <v>RENATO VEIGA</v>
      </c>
      <c r="C104" s="20" t="str">
        <f>IFERROR(__xludf.DUMMYFUNCTION("""COMPUTED_VALUE"""),"VILLARREAL CF")</f>
        <v>VILLARREAL CF</v>
      </c>
    </row>
    <row r="105">
      <c r="A105" s="20">
        <f>IFERROR(__xludf.DUMMYFUNCTION("""COMPUTED_VALUE"""),360.0)</f>
        <v>360</v>
      </c>
      <c r="B105" s="20" t="str">
        <f>IFERROR(__xludf.DUMMYFUNCTION("""COMPUTED_VALUE"""),"AYOZE")</f>
        <v>AYOZE</v>
      </c>
      <c r="C105" s="20" t="str">
        <f>IFERROR(__xludf.DUMMYFUNCTION("""COMPUTED_VALUE"""),"VILLARREAL CF")</f>
        <v>VILLARREAL CF</v>
      </c>
    </row>
    <row r="106">
      <c r="A106" s="20">
        <f>IFERROR(__xludf.DUMMYFUNCTION("""COMPUTED_VALUE"""),364.0)</f>
        <v>364</v>
      </c>
      <c r="B106" s="20" t="str">
        <f>IFERROR(__xludf.DUMMYFUNCTION("""COMPUTED_VALUE"""),"FC BARCELONA")</f>
        <v>FC BARCELONA</v>
      </c>
      <c r="C106" s="20" t="str">
        <f>IFERROR(__xludf.DUMMYFUNCTION("""COMPUTED_VALUE"""),"¡VAMOS!")</f>
        <v>¡VAMOS!</v>
      </c>
    </row>
    <row r="107">
      <c r="A107" s="20">
        <f>IFERROR(__xludf.DUMMYFUNCTION("""COMPUTED_VALUE"""),365.0)</f>
        <v>365</v>
      </c>
      <c r="B107" s="20" t="str">
        <f>IFERROR(__xludf.DUMMYFUNCTION("""COMPUTED_VALUE"""),"REAL BETIS")</f>
        <v>REAL BETIS</v>
      </c>
      <c r="C107" s="20" t="str">
        <f>IFERROR(__xludf.DUMMYFUNCTION("""COMPUTED_VALUE"""),"¡VAMOS!")</f>
        <v>¡VAMOS!</v>
      </c>
    </row>
    <row r="108">
      <c r="A108" s="20">
        <f>IFERROR(__xludf.DUMMYFUNCTION("""COMPUTED_VALUE"""),366.0)</f>
        <v>366</v>
      </c>
      <c r="B108" s="20" t="str">
        <f>IFERROR(__xludf.DUMMYFUNCTION("""COMPUTED_VALUE"""),"RC CELTA")</f>
        <v>RC CELTA</v>
      </c>
      <c r="C108" s="20" t="str">
        <f>IFERROR(__xludf.DUMMYFUNCTION("""COMPUTED_VALUE"""),"¡VAMOS!")</f>
        <v>¡VAMOS!</v>
      </c>
    </row>
    <row r="109">
      <c r="A109" s="20">
        <f>IFERROR(__xludf.DUMMYFUNCTION("""COMPUTED_VALUE"""),373.0)</f>
        <v>373</v>
      </c>
      <c r="B109" s="20" t="str">
        <f>IFERROR(__xludf.DUMMYFUNCTION("""COMPUTED_VALUE"""),"RCD MALLORCA")</f>
        <v>RCD MALLORCA</v>
      </c>
      <c r="C109" s="20" t="str">
        <f>IFERROR(__xludf.DUMMYFUNCTION("""COMPUTED_VALUE"""),"¡VAMOS!")</f>
        <v>¡VAMOS!</v>
      </c>
    </row>
    <row r="110">
      <c r="A110" s="20">
        <f>IFERROR(__xludf.DUMMYFUNCTION("""COMPUTED_VALUE"""),375.0)</f>
        <v>375</v>
      </c>
      <c r="B110" s="20" t="str">
        <f>IFERROR(__xludf.DUMMYFUNCTION("""COMPUTED_VALUE"""),"REAL OVIEDO")</f>
        <v>REAL OVIEDO</v>
      </c>
      <c r="C110" s="20" t="str">
        <f>IFERROR(__xludf.DUMMYFUNCTION("""COMPUTED_VALUE"""),"¡VAMOS!")</f>
        <v>¡VAMOS!</v>
      </c>
    </row>
    <row r="111">
      <c r="A111" s="20">
        <f>IFERROR(__xludf.DUMMYFUNCTION("""COMPUTED_VALUE"""),377.0)</f>
        <v>377</v>
      </c>
      <c r="B111" s="20" t="str">
        <f>IFERROR(__xludf.DUMMYFUNCTION("""COMPUTED_VALUE"""),"REAL SOCIEDAD")</f>
        <v>REAL SOCIEDAD</v>
      </c>
      <c r="C111" s="20" t="str">
        <f>IFERROR(__xludf.DUMMYFUNCTION("""COMPUTED_VALUE"""),"¡VAMOS!")</f>
        <v>¡VAMOS!</v>
      </c>
    </row>
    <row r="112">
      <c r="A112" s="20">
        <f>IFERROR(__xludf.DUMMYFUNCTION("""COMPUTED_VALUE"""),378.0)</f>
        <v>378</v>
      </c>
      <c r="B112" s="20" t="str">
        <f>IFERROR(__xludf.DUMMYFUNCTION("""COMPUTED_VALUE"""),"SEVILLA FC")</f>
        <v>SEVILLA FC</v>
      </c>
      <c r="C112" s="20" t="str">
        <f>IFERROR(__xludf.DUMMYFUNCTION("""COMPUTED_VALUE"""),"¡VAMOS!")</f>
        <v>¡VAMOS!</v>
      </c>
    </row>
    <row r="113">
      <c r="A113" s="20">
        <f>IFERROR(__xludf.DUMMYFUNCTION("""COMPUTED_VALUE"""),380.0)</f>
        <v>380</v>
      </c>
      <c r="B113" s="20" t="str">
        <f>IFERROR(__xludf.DUMMYFUNCTION("""COMPUTED_VALUE"""),"VILLARREAL CF")</f>
        <v>VILLARREAL CF</v>
      </c>
      <c r="C113" s="20" t="str">
        <f>IFERROR(__xludf.DUMMYFUNCTION("""COMPUTED_VALUE"""),"¡VAMOS!")</f>
        <v>¡VAMOS!</v>
      </c>
    </row>
    <row r="114">
      <c r="A114" s="20">
        <f>IFERROR(__xludf.DUMMYFUNCTION("""COMPUTED_VALUE"""),383.0)</f>
        <v>383</v>
      </c>
      <c r="B114" s="20" t="str">
        <f>IFERROR(__xludf.DUMMYFUNCTION("""COMPUTED_VALUE"""),"DAVID SORIA")</f>
        <v>DAVID SORIA</v>
      </c>
      <c r="C114" s="20" t="str">
        <f>IFERROR(__xludf.DUMMYFUNCTION("""COMPUTED_VALUE"""),"GETAFE CF")</f>
        <v>GETAFE CF</v>
      </c>
    </row>
    <row r="115">
      <c r="A115" s="20">
        <f>IFERROR(__xludf.DUMMYFUNCTION("""COMPUTED_VALUE"""),384.0)</f>
        <v>384</v>
      </c>
      <c r="B115" s="20" t="str">
        <f>IFERROR(__xludf.DUMMYFUNCTION("""COMPUTED_VALUE"""),"SERGIO HERRERA")</f>
        <v>SERGIO HERRERA</v>
      </c>
      <c r="C115" s="20" t="str">
        <f>IFERROR(__xludf.DUMMYFUNCTION("""COMPUTED_VALUE"""),"CA OSASUNA")</f>
        <v>CA OSASUNA</v>
      </c>
    </row>
    <row r="116">
      <c r="A116" s="20">
        <f>IFERROR(__xludf.DUMMYFUNCTION("""COMPUTED_VALUE"""),385.0)</f>
        <v>385</v>
      </c>
      <c r="B116" s="20" t="str">
        <f>IFERROR(__xludf.DUMMYFUNCTION("""COMPUTED_VALUE"""),"BATALLA")</f>
        <v>BATALLA</v>
      </c>
      <c r="C116" s="20" t="str">
        <f>IFERROR(__xludf.DUMMYFUNCTION("""COMPUTED_VALUE"""),"RAYO VALLECANO")</f>
        <v>RAYO VALLECANO</v>
      </c>
    </row>
    <row r="117">
      <c r="A117" s="20">
        <f>IFERROR(__xludf.DUMMYFUNCTION("""COMPUTED_VALUE"""),386.0)</f>
        <v>386</v>
      </c>
      <c r="B117" s="20" t="str">
        <f>IFERROR(__xludf.DUMMYFUNCTION("""COMPUTED_VALUE"""),"REMIRO")</f>
        <v>REMIRO</v>
      </c>
      <c r="C117" s="20" t="str">
        <f>IFERROR(__xludf.DUMMYFUNCTION("""COMPUTED_VALUE"""),"REAL SOCIEDAD")</f>
        <v>REAL SOCIEDAD</v>
      </c>
    </row>
    <row r="118">
      <c r="A118" s="20">
        <f>IFERROR(__xludf.DUMMYFUNCTION("""COMPUTED_VALUE"""),388.0)</f>
        <v>388</v>
      </c>
      <c r="B118" s="20" t="str">
        <f>IFERROR(__xludf.DUMMYFUNCTION("""COMPUTED_VALUE"""),"LAPORTE")</f>
        <v>LAPORTE</v>
      </c>
      <c r="C118" s="20" t="str">
        <f>IFERROR(__xludf.DUMMYFUNCTION("""COMPUTED_VALUE"""),"ATHLETIC CLUB")</f>
        <v>ATHLETIC CLUB</v>
      </c>
    </row>
    <row r="119">
      <c r="A119" s="20">
        <f>IFERROR(__xludf.DUMMYFUNCTION("""COMPUTED_VALUE"""),390.0)</f>
        <v>390</v>
      </c>
      <c r="B119" s="20" t="str">
        <f>IFERROR(__xludf.DUMMYFUNCTION("""COMPUTED_VALUE"""),"LE NORMAND")</f>
        <v>LE NORMAND</v>
      </c>
      <c r="C119" s="20" t="str">
        <f>IFERROR(__xludf.DUMMYFUNCTION("""COMPUTED_VALUE"""),"ATLÉTICO DE MADRID")</f>
        <v>ATLÉTICO DE MADRID</v>
      </c>
    </row>
    <row r="120">
      <c r="A120" s="20">
        <f>IFERROR(__xludf.DUMMYFUNCTION("""COMPUTED_VALUE"""),394.0)</f>
        <v>394</v>
      </c>
      <c r="B120" s="20" t="str">
        <f>IFERROR(__xludf.DUMMYFUNCTION("""COMPUTED_VALUE"""),"LEJEUNE")</f>
        <v>LEJEUNE</v>
      </c>
      <c r="C120" s="20" t="str">
        <f>IFERROR(__xludf.DUMMYFUNCTION("""COMPUTED_VALUE"""),"RAYO VALLECANO")</f>
        <v>RAYO VALLECANO</v>
      </c>
    </row>
    <row r="121">
      <c r="A121" s="20">
        <f>IFERROR(__xludf.DUMMYFUNCTION("""COMPUTED_VALUE"""),397.0)</f>
        <v>397</v>
      </c>
      <c r="B121" s="20" t="str">
        <f>IFERROR(__xludf.DUMMYFUNCTION("""COMPUTED_VALUE"""),"REGO")</f>
        <v>REGO</v>
      </c>
      <c r="C121" s="20" t="str">
        <f>IFERROR(__xludf.DUMMYFUNCTION("""COMPUTED_VALUE"""),"ATHLETIC CLUB")</f>
        <v>ATHLETIC CLUB</v>
      </c>
    </row>
    <row r="122">
      <c r="A122" s="20">
        <f>IFERROR(__xludf.DUMMYFUNCTION("""COMPUTED_VALUE"""),401.0)</f>
        <v>401</v>
      </c>
      <c r="B122" s="20" t="str">
        <f>IFERROR(__xludf.DUMMYFUNCTION("""COMPUTED_VALUE"""),"RODRI MENDOZA")</f>
        <v>RODRI MENDOZA</v>
      </c>
      <c r="C122" s="20" t="str">
        <f>IFERROR(__xludf.DUMMYFUNCTION("""COMPUTED_VALUE"""),"ELCHE CF")</f>
        <v>ELCHE CF</v>
      </c>
    </row>
    <row r="123">
      <c r="A123" s="20">
        <f>IFERROR(__xludf.DUMMYFUNCTION("""COMPUTED_VALUE"""),410.0)</f>
        <v>410</v>
      </c>
      <c r="B123" s="20" t="str">
        <f>IFERROR(__xludf.DUMMYFUNCTION("""COMPUTED_VALUE"""),"GONZALO")</f>
        <v>GONZALO</v>
      </c>
      <c r="C123" s="20" t="str">
        <f>IFERROR(__xludf.DUMMYFUNCTION("""COMPUTED_VALUE"""),"REAL MADRID")</f>
        <v>REAL MADRID</v>
      </c>
    </row>
    <row r="124">
      <c r="A124" s="20">
        <f>IFERROR(__xludf.DUMMYFUNCTION("""COMPUTED_VALUE"""),412.0)</f>
        <v>412</v>
      </c>
      <c r="B124" s="20" t="str">
        <f>IFERROR(__xludf.DUMMYFUNCTION("""COMPUTED_VALUE"""),"MATEO JOSEPH")</f>
        <v>MATEO JOSEPH</v>
      </c>
      <c r="C124" s="20" t="str">
        <f>IFERROR(__xludf.DUMMYFUNCTION("""COMPUTED_VALUE"""),"RCD MALLORCA")</f>
        <v>RCD MALLORCA</v>
      </c>
    </row>
    <row r="125">
      <c r="A125" s="20">
        <f>IFERROR(__xludf.DUMMYFUNCTION("""COMPUTED_VALUE"""),417.0)</f>
        <v>417</v>
      </c>
      <c r="B125" s="20" t="str">
        <f>IFERROR(__xludf.DUMMYFUNCTION("""COMPUTED_VALUE"""),"FEBAS")</f>
        <v>FEBAS</v>
      </c>
      <c r="C125" s="20" t="str">
        <f>IFERROR(__xludf.DUMMYFUNCTION("""COMPUTED_VALUE"""),"ELCHE CF")</f>
        <v>ELCHE CF</v>
      </c>
    </row>
    <row r="126">
      <c r="A126" s="20">
        <f>IFERROR(__xludf.DUMMYFUNCTION("""COMPUTED_VALUE"""),418.0)</f>
        <v>418</v>
      </c>
      <c r="B126" s="20" t="str">
        <f>IFERROR(__xludf.DUMMYFUNCTION("""COMPUTED_VALUE"""),"EDU EXPÓSITO")</f>
        <v>EDU EXPÓSITO</v>
      </c>
      <c r="C126" s="20" t="str">
        <f>IFERROR(__xludf.DUMMYFUNCTION("""COMPUTED_VALUE"""),"RCD ESPANYOL")</f>
        <v>RCD ESPANYOL</v>
      </c>
    </row>
    <row r="127">
      <c r="A127" s="20">
        <f>IFERROR(__xludf.DUMMYFUNCTION("""COMPUTED_VALUE"""),420.0)</f>
        <v>420</v>
      </c>
      <c r="B127" s="20" t="str">
        <f>IFERROR(__xludf.DUMMYFUNCTION("""COMPUTED_VALUE"""),"DARDER")</f>
        <v>DARDER</v>
      </c>
      <c r="C127" s="20" t="str">
        <f>IFERROR(__xludf.DUMMYFUNCTION("""COMPUTED_VALUE"""),"RCD MALLORCA")</f>
        <v>RCD MALLORCA</v>
      </c>
    </row>
    <row r="128">
      <c r="A128" s="20">
        <f>IFERROR(__xludf.DUMMYFUNCTION("""COMPUTED_VALUE"""),423.0)</f>
        <v>423</v>
      </c>
      <c r="B128" s="20" t="str">
        <f>IFERROR(__xludf.DUMMYFUNCTION("""COMPUTED_VALUE"""),"UNAI LÓPEZ")</f>
        <v>UNAI LÓPEZ</v>
      </c>
      <c r="C128" s="20" t="str">
        <f>IFERROR(__xludf.DUMMYFUNCTION("""COMPUTED_VALUE"""),"RAYO VALLECANO")</f>
        <v>RAYO VALLECANO</v>
      </c>
    </row>
    <row r="129">
      <c r="A129" s="20">
        <f>IFERROR(__xludf.DUMMYFUNCTION("""COMPUTED_VALUE"""),424.0)</f>
        <v>424</v>
      </c>
      <c r="B129" s="20" t="str">
        <f>IFERROR(__xludf.DUMMYFUNCTION("""COMPUTED_VALUE"""),"TENAGLIA")</f>
        <v>TENAGLIA</v>
      </c>
      <c r="C129" s="20" t="str">
        <f>IFERROR(__xludf.DUMMYFUNCTION("""COMPUTED_VALUE"""),"D. ALAVÉS")</f>
        <v>D. ALAVÉS</v>
      </c>
    </row>
    <row r="130">
      <c r="A130" s="20">
        <f>IFERROR(__xludf.DUMMYFUNCTION("""COMPUTED_VALUE"""),428.0)</f>
        <v>428</v>
      </c>
      <c r="B130" s="20" t="str">
        <f>IFERROR(__xludf.DUMMYFUNCTION("""COMPUTED_VALUE"""),"BORJA IGLESIAS")</f>
        <v>BORJA IGLESIAS</v>
      </c>
      <c r="C130" s="20" t="str">
        <f>IFERROR(__xludf.DUMMYFUNCTION("""COMPUTED_VALUE"""),"RC CELTA")</f>
        <v>RC CELTA</v>
      </c>
    </row>
    <row r="131">
      <c r="A131" s="20">
        <f>IFERROR(__xludf.DUMMYFUNCTION("""COMPUTED_VALUE"""),430.0)</f>
        <v>430</v>
      </c>
      <c r="B131" s="20" t="str">
        <f>IFERROR(__xludf.DUMMYFUNCTION("""COMPUTED_VALUE"""),"VANAT")</f>
        <v>VANAT</v>
      </c>
      <c r="C131" s="20" t="str">
        <f>IFERROR(__xludf.DUMMYFUNCTION("""COMPUTED_VALUE"""),"GIRONA FC")</f>
        <v>GIRONA FC</v>
      </c>
    </row>
    <row r="132">
      <c r="A132" s="20">
        <f>IFERROR(__xludf.DUMMYFUNCTION("""COMPUTED_VALUE"""),433.0)</f>
        <v>433</v>
      </c>
      <c r="B132" s="20" t="str">
        <f>IFERROR(__xludf.DUMMYFUNCTION("""COMPUTED_VALUE"""),"LEO ROMÁN")</f>
        <v>LEO ROMÁN</v>
      </c>
      <c r="C132" s="20" t="str">
        <f>IFERROR(__xludf.DUMMYFUNCTION("""COMPUTED_VALUE"""),"RCD MALLORCA")</f>
        <v>RCD MALLORCA</v>
      </c>
    </row>
    <row r="133">
      <c r="A133" s="20">
        <f>IFERROR(__xludf.DUMMYFUNCTION("""COMPUTED_VALUE"""),435.0)</f>
        <v>435</v>
      </c>
      <c r="B133" s="20" t="str">
        <f>IFERROR(__xludf.DUMMYFUNCTION("""COMPUTED_VALUE"""),"HASSAN")</f>
        <v>HASSAN</v>
      </c>
      <c r="C133" s="20" t="str">
        <f>IFERROR(__xludf.DUMMYFUNCTION("""COMPUTED_VALUE"""),"REAL OVIEDO")</f>
        <v>REAL OVIEDO</v>
      </c>
    </row>
    <row r="134">
      <c r="A134" s="20">
        <f>IFERROR(__xludf.DUMMYFUNCTION("""COMPUTED_VALUE"""),437.0)</f>
        <v>437</v>
      </c>
      <c r="B134" s="20" t="str">
        <f>IFERROR(__xludf.DUMMYFUNCTION("""COMPUTED_VALUE"""),"GORROTXATEGI")</f>
        <v>GORROTXATEGI</v>
      </c>
      <c r="C134" s="20" t="str">
        <f>IFERROR(__xludf.DUMMYFUNCTION("""COMPUTED_VALUE"""),"REAL SOCIEDAD")</f>
        <v>REAL SOCIEDAD</v>
      </c>
    </row>
    <row r="135">
      <c r="A135" s="20">
        <f>IFERROR(__xludf.DUMMYFUNCTION("""COMPUTED_VALUE"""),438.0)</f>
        <v>438</v>
      </c>
      <c r="B135" s="20" t="str">
        <f>IFERROR(__xludf.DUMMYFUNCTION("""COMPUTED_VALUE"""),"BATISTA MENDY")</f>
        <v>BATISTA MENDY</v>
      </c>
      <c r="C135" s="20" t="str">
        <f>IFERROR(__xludf.DUMMYFUNCTION("""COMPUTED_VALUE"""),"SEVILLA FC")</f>
        <v>SEVILLA FC</v>
      </c>
    </row>
    <row r="136">
      <c r="A136" s="20">
        <f>IFERROR(__xludf.DUMMYFUNCTION("""COMPUTED_VALUE"""),441.0)</f>
        <v>441</v>
      </c>
      <c r="B136" s="20" t="str">
        <f>IFERROR(__xludf.DUMMYFUNCTION("""COMPUTED_VALUE"""),"BUCHANAN")</f>
        <v>BUCHANAN</v>
      </c>
      <c r="C136" s="20" t="str">
        <f>IFERROR(__xludf.DUMMYFUNCTION("""COMPUTED_VALUE"""),"VILLARREAL CF")</f>
        <v>VILLARREAL CF</v>
      </c>
    </row>
    <row r="137">
      <c r="A137" s="20">
        <f>IFERROR(__xludf.DUMMYFUNCTION("""COMPUTED_VALUE"""),442.0)</f>
        <v>442</v>
      </c>
      <c r="B137" s="20" t="str">
        <f>IFERROR(__xludf.DUMMYFUNCTION("""COMPUTED_VALUE"""),"UNAI SIMÓN")</f>
        <v>UNAI SIMÓN</v>
      </c>
      <c r="C137" s="20" t="str">
        <f>IFERROR(__xludf.DUMMYFUNCTION("""COMPUTED_VALUE"""),"ATHLETIC CLUB")</f>
        <v>ATHLETIC CLUB</v>
      </c>
    </row>
    <row r="138">
      <c r="A138" s="20">
        <f>IFERROR(__xludf.DUMMYFUNCTION("""COMPUTED_VALUE"""),443.0)</f>
        <v>443</v>
      </c>
      <c r="B138" s="20" t="str">
        <f>IFERROR(__xludf.DUMMYFUNCTION("""COMPUTED_VALUE"""),"JAUREGIZAR")</f>
        <v>JAUREGIZAR</v>
      </c>
      <c r="C138" s="20" t="str">
        <f>IFERROR(__xludf.DUMMYFUNCTION("""COMPUTED_VALUE"""),"ATHLETIC CLUB")</f>
        <v>ATHLETIC CLUB</v>
      </c>
    </row>
    <row r="139">
      <c r="A139" s="20">
        <f>IFERROR(__xludf.DUMMYFUNCTION("""COMPUTED_VALUE"""),445.0)</f>
        <v>445</v>
      </c>
      <c r="B139" s="20" t="str">
        <f>IFERROR(__xludf.DUMMYFUNCTION("""COMPUTED_VALUE"""),"MARCOS LLORENTE")</f>
        <v>MARCOS LLORENTE</v>
      </c>
      <c r="C139" s="20" t="str">
        <f>IFERROR(__xludf.DUMMYFUNCTION("""COMPUTED_VALUE"""),"ATLÉTICO DE MADRID")</f>
        <v>ATLÉTICO DE MADRID</v>
      </c>
    </row>
    <row r="140">
      <c r="A140" s="20">
        <f>IFERROR(__xludf.DUMMYFUNCTION("""COMPUTED_VALUE"""),446.0)</f>
        <v>446</v>
      </c>
      <c r="B140" s="20" t="str">
        <f>IFERROR(__xludf.DUMMYFUNCTION("""COMPUTED_VALUE"""),"ÁLEX BAENA")</f>
        <v>ÁLEX BAENA</v>
      </c>
      <c r="C140" s="20" t="str">
        <f>IFERROR(__xludf.DUMMYFUNCTION("""COMPUTED_VALUE"""),"ATLÉTICO DE MADRID")</f>
        <v>ATLÉTICO DE MADRID</v>
      </c>
    </row>
    <row r="141">
      <c r="A141" s="20">
        <f>IFERROR(__xludf.DUMMYFUNCTION("""COMPUTED_VALUE"""),451.0)</f>
        <v>451</v>
      </c>
      <c r="B141" s="20" t="str">
        <f>IFERROR(__xludf.DUMMYFUNCTION("""COMPUTED_VALUE"""),"RAPHINHA")</f>
        <v>RAPHINHA</v>
      </c>
      <c r="C141" s="20" t="str">
        <f>IFERROR(__xludf.DUMMYFUNCTION("""COMPUTED_VALUE"""),"FC BARCELONA")</f>
        <v>FC BARCELONA</v>
      </c>
    </row>
    <row r="142">
      <c r="A142" s="20">
        <f>IFERROR(__xludf.DUMMYFUNCTION("""COMPUTED_VALUE"""),453.0)</f>
        <v>453</v>
      </c>
      <c r="B142" s="20" t="str">
        <f>IFERROR(__xludf.DUMMYFUNCTION("""COMPUTED_VALUE"""),"RASHFORD")</f>
        <v>RASHFORD</v>
      </c>
      <c r="C142" s="20" t="str">
        <f>IFERROR(__xludf.DUMMYFUNCTION("""COMPUTED_VALUE"""),"FC BARCELONA")</f>
        <v>FC BARCELONA</v>
      </c>
    </row>
    <row r="143">
      <c r="A143" s="20">
        <f>IFERROR(__xludf.DUMMYFUNCTION("""COMPUTED_VALUE"""),454.0)</f>
        <v>454</v>
      </c>
      <c r="B143" s="20" t="str">
        <f>IFERROR(__xludf.DUMMYFUNCTION("""COMPUTED_VALUE"""),"ISCO")</f>
        <v>ISCO</v>
      </c>
      <c r="C143" s="20" t="str">
        <f>IFERROR(__xludf.DUMMYFUNCTION("""COMPUTED_VALUE"""),"REAL BETIS")</f>
        <v>REAL BETIS</v>
      </c>
    </row>
    <row r="144">
      <c r="A144" s="20">
        <f>IFERROR(__xludf.DUMMYFUNCTION("""COMPUTED_VALUE"""),460.0)</f>
        <v>460</v>
      </c>
      <c r="B144" s="20" t="str">
        <f>IFERROR(__xludf.DUMMYFUNCTION("""COMPUTED_VALUE"""),"MASTANTUONO")</f>
        <v>MASTANTUONO</v>
      </c>
      <c r="C144" s="20" t="str">
        <f>IFERROR(__xludf.DUMMYFUNCTION("""COMPUTED_VALUE"""),"REAL MADRID")</f>
        <v>REAL MADRID</v>
      </c>
    </row>
    <row r="145">
      <c r="A145" s="20">
        <f>IFERROR(__xludf.DUMMYFUNCTION("""COMPUTED_VALUE"""),464.0)</f>
        <v>464</v>
      </c>
      <c r="B145" s="20" t="str">
        <f>IFERROR(__xludf.DUMMYFUNCTION("""COMPUTED_VALUE"""),"VARGAS")</f>
        <v>VARGAS</v>
      </c>
      <c r="C145" s="20" t="str">
        <f>IFERROR(__xludf.DUMMYFUNCTION("""COMPUTED_VALUE"""),"SEVILLA FC")</f>
        <v>SEVILLA FC</v>
      </c>
    </row>
    <row r="146">
      <c r="A146" s="20">
        <f>IFERROR(__xludf.DUMMYFUNCTION("""COMPUTED_VALUE"""),466.0)</f>
        <v>466</v>
      </c>
      <c r="B146" s="20" t="str">
        <f>IFERROR(__xludf.DUMMYFUNCTION("""COMPUTED_VALUE"""),"MOLEIRO")</f>
        <v>MOLEIRO</v>
      </c>
      <c r="C146" s="20" t="str">
        <f>IFERROR(__xludf.DUMMYFUNCTION("""COMPUTED_VALUE"""),"VILLARREAL CF")</f>
        <v>VILLARREAL CF</v>
      </c>
    </row>
    <row r="147">
      <c r="A147" s="20">
        <f>IFERROR(__xludf.DUMMYFUNCTION("""COMPUTED_VALUE"""),468.0)</f>
        <v>468</v>
      </c>
      <c r="B147" s="20" t="str">
        <f>IFERROR(__xludf.DUMMYFUNCTION("""COMPUTED_VALUE"""),"CARD CHAMPIONS")</f>
        <v>CARD CHAMPIONS</v>
      </c>
      <c r="C147" s="20" t="str">
        <f>IFERROR(__xludf.DUMMYFUNCTION("""COMPUTED_VALUE"""),"ÚNICA")</f>
        <v>ÚNICA</v>
      </c>
    </row>
    <row r="148">
      <c r="A148" s="20">
        <f>IFERROR(__xludf.DUMMYFUNCTION("""COMPUTED_VALUE"""),470.0)</f>
        <v>470</v>
      </c>
      <c r="B148" s="20" t="str">
        <f>IFERROR(__xludf.DUMMYFUNCTION("""COMPUTED_VALUE"""),"JULIÁN ÁLVAREZ")</f>
        <v>JULIÁN ÁLVAREZ</v>
      </c>
      <c r="C148" s="20" t="str">
        <f>IFERROR(__xludf.DUMMYFUNCTION("""COMPUTED_VALUE"""),"BALÓN DE ORO (ATLÉTICO)")</f>
        <v>BALÓN DE ORO (ATLÉTICO)</v>
      </c>
    </row>
    <row r="149">
      <c r="A149" s="20">
        <f>IFERROR(__xludf.DUMMYFUNCTION("""COMPUTED_VALUE"""),471.0)</f>
        <v>471</v>
      </c>
      <c r="B149" s="20" t="str">
        <f>IFERROR(__xludf.DUMMYFUNCTION("""COMPUTED_VALUE"""),"PEDRI")</f>
        <v>PEDRI</v>
      </c>
      <c r="C149" s="20" t="str">
        <f>IFERROR(__xludf.DUMMYFUNCTION("""COMPUTED_VALUE"""),"BALÓN DE ORO (BARÇA)")</f>
        <v>BALÓN DE ORO (BARÇA)</v>
      </c>
    </row>
    <row r="150">
      <c r="A150" s="20">
        <f>IFERROR(__xludf.DUMMYFUNCTION("""COMPUTED_VALUE"""),472.0)</f>
        <v>472</v>
      </c>
      <c r="B150" s="20" t="str">
        <f>IFERROR(__xludf.DUMMYFUNCTION("""COMPUTED_VALUE"""),"LAMINE YAMAL")</f>
        <v>LAMINE YAMAL</v>
      </c>
      <c r="C150" s="20" t="str">
        <f>IFERROR(__xludf.DUMMYFUNCTION("""COMPUTED_VALUE"""),"BALÓN DE ORO (BARÇA)")</f>
        <v>BALÓN DE ORO (BARÇA)</v>
      </c>
    </row>
    <row r="151">
      <c r="A151" s="20">
        <f>IFERROR(__xludf.DUMMYFUNCTION("""COMPUTED_VALUE"""),473.0)</f>
        <v>473</v>
      </c>
      <c r="B151" s="20" t="str">
        <f>IFERROR(__xludf.DUMMYFUNCTION("""COMPUTED_VALUE"""),"VINÍCIUS")</f>
        <v>VINÍCIUS</v>
      </c>
      <c r="C151" s="20" t="str">
        <f>IFERROR(__xludf.DUMMYFUNCTION("""COMPUTED_VALUE"""),"BALÓN DE ORO (REAL MADRID)")</f>
        <v>BALÓN DE ORO (REAL MADRID)</v>
      </c>
    </row>
    <row r="152">
      <c r="A152" s="20">
        <f>IFERROR(__xludf.DUMMYFUNCTION("""COMPUTED_VALUE"""),475.0)</f>
        <v>475</v>
      </c>
      <c r="B152" s="20" t="str">
        <f>IFERROR(__xludf.DUMMYFUNCTION("""COMPUTED_VALUE"""),"BALÓN DE ORO EXCELLENCE")</f>
        <v>BALÓN DE ORO EXCELLENCE</v>
      </c>
      <c r="C152" s="20" t="str">
        <f>IFERROR(__xludf.DUMMYFUNCTION("""COMPUTED_VALUE"""),"ÚNICA")</f>
        <v>ÚNICA</v>
      </c>
    </row>
    <row r="153">
      <c r="A153" s="20">
        <f>IFERROR(__xludf.DUMMYFUNCTION("""COMPUTED_VALUE"""),476.0)</f>
        <v>476</v>
      </c>
      <c r="B153" s="20" t="str">
        <f>IFERROR(__xludf.DUMMYFUNCTION("""COMPUTED_VALUE"""),"CARD ATÓMICA")</f>
        <v>CARD ATÓMICA</v>
      </c>
      <c r="C153" s="20" t="str">
        <f>IFERROR(__xludf.DUMMYFUNCTION("""COMPUTED_VALUE"""),"ÚNICA")</f>
        <v>ÚNICA</v>
      </c>
    </row>
    <row r="154">
      <c r="A154" s="20">
        <f>IFERROR(__xludf.DUMMYFUNCTION("""COMPUTED_VALUE"""),91.0)</f>
        <v>91</v>
      </c>
      <c r="B154" s="20" t="str">
        <f>IFERROR(__xludf.DUMMYFUNCTION("""COMPUTED_VALUE"""),"ESTADIO")</f>
        <v>ESTADIO</v>
      </c>
      <c r="C154" s="20" t="str">
        <f>IFERROR(__xludf.DUMMYFUNCTION("""COMPUTED_VALUE"""),"RC CELTA")</f>
        <v>RC CELTA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IFERROR(__xludf.DUMMYFUNCTION("""COMPUTED_VALUE"""),2.0)</f>
        <v>2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IFERROR(__xludf.DUMMYFUNCTION("""COMPUTED_VALUE"""),15.0)</f>
        <v>15</v>
      </c>
      <c r="B3" s="20" t="str">
        <f>IFERROR(__xludf.DUMMYFUNCTION("""COMPUTED_VALUE"""),"CARLOS VICENTE")</f>
        <v>CARLOS VICENTE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IFERROR(__xludf.DUMMYFUNCTION("""COMPUTED_VALUE"""),17.0)</f>
        <v>17</v>
      </c>
      <c r="B4" s="20" t="str">
        <f>IFERROR(__xludf.DUMMYFUNCTION("""COMPUTED_VALUE"""),"BOYÉ")</f>
        <v>BOYÉ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IFERROR(__xludf.DUMMYFUNCTION("""COMPUTED_VALUE"""),18.0)</f>
        <v>18</v>
      </c>
      <c r="B5" s="20" t="str">
        <f>IFERROR(__xludf.DUMMYFUNCTION("""COMPUTED_VALUE"""),"MARIANO")</f>
        <v>MARIANO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IFERROR(__xludf.DUMMYFUNCTION("""COMPUTED_VALUE"""),19.0)</f>
        <v>19</v>
      </c>
      <c r="B6" s="20" t="str">
        <f>IFERROR(__xludf.DUMMYFUNCTION("""COMPUTED_VALUE"""),"ESTADIO")</f>
        <v>ESTADIO</v>
      </c>
      <c r="C6" s="20" t="str">
        <f>IFERROR(__xludf.DUMMYFUNCTION("""COMPUTED_VALUE"""),"ATHLETIC CLUB")</f>
        <v>ATHLETIC CLUB</v>
      </c>
      <c r="D6" s="20">
        <f>IFERROR(__xludf.DUMMYFUNCTION("""COMPUTED_VALUE"""),1.0)</f>
        <v>1</v>
      </c>
    </row>
    <row r="7">
      <c r="A7" s="20">
        <f>IFERROR(__xludf.DUMMYFUNCTION("""COMPUTED_VALUE"""),27.0)</f>
        <v>27</v>
      </c>
      <c r="B7" s="20" t="str">
        <f>IFERROR(__xludf.DUMMYFUNCTION("""COMPUTED_VALUE"""),"RUIZ DE GALARRETA")</f>
        <v>RUIZ DE GALARRETA</v>
      </c>
      <c r="C7" s="20" t="str">
        <f>IFERROR(__xludf.DUMMYFUNCTION("""COMPUTED_VALUE"""),"ATHLETIC CLUB")</f>
        <v>ATHLETIC CLUB</v>
      </c>
      <c r="D7" s="20">
        <f>IFERROR(__xludf.DUMMYFUNCTION("""COMPUTED_VALUE"""),2.0)</f>
        <v>2</v>
      </c>
    </row>
    <row r="8">
      <c r="A8" s="20">
        <f>IFERROR(__xludf.DUMMYFUNCTION("""COMPUTED_VALUE"""),34.0)</f>
        <v>34</v>
      </c>
      <c r="B8" s="20" t="str">
        <f>IFERROR(__xludf.DUMMYFUNCTION("""COMPUTED_VALUE"""),"MAROAN")</f>
        <v>MAROAN</v>
      </c>
      <c r="C8" s="20" t="str">
        <f>IFERROR(__xludf.DUMMYFUNCTION("""COMPUTED_VALUE"""),"ATHLETIC CLUB")</f>
        <v>ATHLETIC CLUB</v>
      </c>
      <c r="D8" s="20">
        <f>IFERROR(__xludf.DUMMYFUNCTION("""COMPUTED_VALUE"""),1.0)</f>
        <v>1</v>
      </c>
    </row>
    <row r="9">
      <c r="A9" s="20">
        <f>IFERROR(__xludf.DUMMYFUNCTION("""COMPUTED_VALUE"""),40.0)</f>
        <v>40</v>
      </c>
      <c r="B9" s="20" t="str">
        <f>IFERROR(__xludf.DUMMYFUNCTION("""COMPUTED_VALUE"""),"MARCOS LLORENTE")</f>
        <v>MARCOS LLORENTE</v>
      </c>
      <c r="C9" s="20" t="str">
        <f>IFERROR(__xludf.DUMMYFUNCTION("""COMPUTED_VALUE"""),"ATLÉTICO DE MADRID")</f>
        <v>ATLÉTICO DE MADRID</v>
      </c>
      <c r="D9" s="20">
        <f>IFERROR(__xludf.DUMMYFUNCTION("""COMPUTED_VALUE"""),1.0)</f>
        <v>1</v>
      </c>
    </row>
    <row r="10">
      <c r="A10" s="20">
        <f>IFERROR(__xludf.DUMMYFUNCTION("""COMPUTED_VALUE"""),42.0)</f>
        <v>42</v>
      </c>
      <c r="B10" s="20" t="str">
        <f>IFERROR(__xludf.DUMMYFUNCTION("""COMPUTED_VALUE"""),"LENGLET")</f>
        <v>LENGLET</v>
      </c>
      <c r="C10" s="20" t="str">
        <f>IFERROR(__xludf.DUMMYFUNCTION("""COMPUTED_VALUE"""),"ATLÉTICO DE MADRID")</f>
        <v>ATLÉTICO DE MADRID</v>
      </c>
      <c r="D10" s="20">
        <f>IFERROR(__xludf.DUMMYFUNCTION("""COMPUTED_VALUE"""),2.0)</f>
        <v>2</v>
      </c>
    </row>
    <row r="11">
      <c r="A11" s="20">
        <f>IFERROR(__xludf.DUMMYFUNCTION("""COMPUTED_VALUE"""),49.0)</f>
        <v>49</v>
      </c>
      <c r="B11" s="20" t="str">
        <f>IFERROR(__xludf.DUMMYFUNCTION("""COMPUTED_VALUE"""),"ALMADA")</f>
        <v>ALMADA</v>
      </c>
      <c r="C11" s="20" t="str">
        <f>IFERROR(__xludf.DUMMYFUNCTION("""COMPUTED_VALUE"""),"ATLÉTICO DE MADRID")</f>
        <v>ATLÉTICO DE MADRID</v>
      </c>
      <c r="D11" s="20">
        <f>IFERROR(__xludf.DUMMYFUNCTION("""COMPUTED_VALUE"""),1.0)</f>
        <v>1</v>
      </c>
    </row>
    <row r="12">
      <c r="A12" s="20">
        <f>IFERROR(__xludf.DUMMYFUNCTION("""COMPUTED_VALUE"""),67.0)</f>
        <v>67</v>
      </c>
      <c r="B12" s="20" t="str">
        <f>IFERROR(__xludf.DUMMYFUNCTION("""COMPUTED_VALUE"""),"DANI OLMO")</f>
        <v>DANI OLMO</v>
      </c>
      <c r="C12" s="20" t="str">
        <f>IFERROR(__xludf.DUMMYFUNCTION("""COMPUTED_VALUE"""),"FC BARCELONA")</f>
        <v>FC BARCELONA</v>
      </c>
      <c r="D12" s="20">
        <f>IFERROR(__xludf.DUMMYFUNCTION("""COMPUTED_VALUE"""),1.0)</f>
        <v>1</v>
      </c>
    </row>
    <row r="13">
      <c r="A13" s="20">
        <f>IFERROR(__xludf.DUMMYFUNCTION("""COMPUTED_VALUE"""),73.0)</f>
        <v>73</v>
      </c>
      <c r="B13" s="20" t="str">
        <f>IFERROR(__xludf.DUMMYFUNCTION("""COMPUTED_VALUE"""),"ESTADIO")</f>
        <v>ESTADIO</v>
      </c>
      <c r="C13" s="20" t="str">
        <f>IFERROR(__xludf.DUMMYFUNCTION("""COMPUTED_VALUE"""),"REAL BETIS")</f>
        <v>REAL BETIS</v>
      </c>
      <c r="D13" s="20">
        <f>IFERROR(__xludf.DUMMYFUNCTION("""COMPUTED_VALUE"""),1.0)</f>
        <v>1</v>
      </c>
    </row>
    <row r="14">
      <c r="A14" s="20">
        <f>IFERROR(__xludf.DUMMYFUNCTION("""COMPUTED_VALUE"""),74.0)</f>
        <v>74</v>
      </c>
      <c r="B14" s="20" t="str">
        <f>IFERROR(__xludf.DUMMYFUNCTION("""COMPUTED_VALUE"""),"PAU LÓPEZ")</f>
        <v>PAU LÓPEZ</v>
      </c>
      <c r="C14" s="20" t="str">
        <f>IFERROR(__xludf.DUMMYFUNCTION("""COMPUTED_VALUE"""),"REAL BETIS")</f>
        <v>REAL BETIS</v>
      </c>
      <c r="D14" s="20">
        <f>IFERROR(__xludf.DUMMYFUNCTION("""COMPUTED_VALUE"""),2.0)</f>
        <v>2</v>
      </c>
    </row>
    <row r="15">
      <c r="A15" s="20">
        <f>IFERROR(__xludf.DUMMYFUNCTION("""COMPUTED_VALUE"""),76.0)</f>
        <v>76</v>
      </c>
      <c r="B15" s="20" t="str">
        <f>IFERROR(__xludf.DUMMYFUNCTION("""COMPUTED_VALUE"""),"BELLERÍN")</f>
        <v>BELLERÍN</v>
      </c>
      <c r="C15" s="20" t="str">
        <f>IFERROR(__xludf.DUMMYFUNCTION("""COMPUTED_VALUE"""),"REAL BETIS")</f>
        <v>REAL BETIS</v>
      </c>
      <c r="D15" s="20">
        <f>IFERROR(__xludf.DUMMYFUNCTION("""COMPUTED_VALUE"""),1.0)</f>
        <v>1</v>
      </c>
    </row>
    <row r="16">
      <c r="A16" s="20">
        <f>IFERROR(__xludf.DUMMYFUNCTION("""COMPUTED_VALUE"""),81.0)</f>
        <v>81</v>
      </c>
      <c r="B16" s="20" t="str">
        <f>IFERROR(__xludf.DUMMYFUNCTION("""COMPUTED_VALUE"""),"JUNIOR")</f>
        <v>JUNIOR</v>
      </c>
      <c r="C16" s="20" t="str">
        <f>IFERROR(__xludf.DUMMYFUNCTION("""COMPUTED_VALUE"""),"REAL BETIS")</f>
        <v>REAL BETIS</v>
      </c>
      <c r="D16" s="20">
        <f>IFERROR(__xludf.DUMMYFUNCTION("""COMPUTED_VALUE"""),2.0)</f>
        <v>2</v>
      </c>
    </row>
    <row r="17">
      <c r="A17" s="20">
        <f>IFERROR(__xludf.DUMMYFUNCTION("""COMPUTED_VALUE"""),88.0)</f>
        <v>88</v>
      </c>
      <c r="B17" s="20" t="str">
        <f>IFERROR(__xludf.DUMMYFUNCTION("""COMPUTED_VALUE"""),"CUCHO HERNÁNDEZ")</f>
        <v>CUCHO HERNÁNDEZ</v>
      </c>
      <c r="C17" s="20" t="str">
        <f>IFERROR(__xludf.DUMMYFUNCTION("""COMPUTED_VALUE"""),"REAL BETIS")</f>
        <v>REAL BETIS</v>
      </c>
      <c r="D17" s="20">
        <f>IFERROR(__xludf.DUMMYFUNCTION("""COMPUTED_VALUE"""),1.0)</f>
        <v>1</v>
      </c>
    </row>
    <row r="18">
      <c r="A18" s="20">
        <f>IFERROR(__xludf.DUMMYFUNCTION("""COMPUTED_VALUE"""),93.0)</f>
        <v>93</v>
      </c>
      <c r="B18" s="20" t="str">
        <f>IFERROR(__xludf.DUMMYFUNCTION("""COMPUTED_VALUE"""),"IVÁN VILLAR")</f>
        <v>IVÁN VILLAR</v>
      </c>
      <c r="C18" s="20" t="str">
        <f>IFERROR(__xludf.DUMMYFUNCTION("""COMPUTED_VALUE"""),"RC CELTA")</f>
        <v>RC CELTA</v>
      </c>
      <c r="D18" s="20">
        <f>IFERROR(__xludf.DUMMYFUNCTION("""COMPUTED_VALUE"""),1.0)</f>
        <v>1</v>
      </c>
    </row>
    <row r="19">
      <c r="A19" s="20">
        <f>IFERROR(__xludf.DUMMYFUNCTION("""COMPUTED_VALUE"""),97.0)</f>
        <v>97</v>
      </c>
      <c r="B19" s="20" t="str">
        <f>IFERROR(__xludf.DUMMYFUNCTION("""COMPUTED_VALUE"""),"MARCOS ALONSO")</f>
        <v>MARCOS ALONSO</v>
      </c>
      <c r="C19" s="20" t="str">
        <f>IFERROR(__xludf.DUMMYFUNCTION("""COMPUTED_VALUE"""),"RC CELTA")</f>
        <v>RC CELTA</v>
      </c>
      <c r="D19" s="20">
        <f>IFERROR(__xludf.DUMMYFUNCTION("""COMPUTED_VALUE"""),1.0)</f>
        <v>1</v>
      </c>
    </row>
    <row r="20">
      <c r="A20" s="20">
        <f>IFERROR(__xludf.DUMMYFUNCTION("""COMPUTED_VALUE"""),100.0)</f>
        <v>100</v>
      </c>
      <c r="B20" s="20" t="str">
        <f>IFERROR(__xludf.DUMMYFUNCTION("""COMPUTED_VALUE"""),"ILAIX MORIBA")</f>
        <v>ILAIX MORIBA</v>
      </c>
      <c r="C20" s="20" t="str">
        <f>IFERROR(__xludf.DUMMYFUNCTION("""COMPUTED_VALUE"""),"RC CELTA")</f>
        <v>RC CELTA</v>
      </c>
      <c r="D20" s="20">
        <f>IFERROR(__xludf.DUMMYFUNCTION("""COMPUTED_VALUE"""),1.0)</f>
        <v>1</v>
      </c>
    </row>
    <row r="21">
      <c r="A21" s="20">
        <f>IFERROR(__xludf.DUMMYFUNCTION("""COMPUTED_VALUE"""),103.0)</f>
        <v>103</v>
      </c>
      <c r="B21" s="20" t="str">
        <f>IFERROR(__xludf.DUMMYFUNCTION("""COMPUTED_VALUE"""),"HUGO ÁLVAREZ")</f>
        <v>HUGO ÁLVAREZ</v>
      </c>
      <c r="C21" s="20" t="str">
        <f>IFERROR(__xludf.DUMMYFUNCTION("""COMPUTED_VALUE"""),"RC CELTA")</f>
        <v>RC CELTA</v>
      </c>
      <c r="D21" s="20">
        <f>IFERROR(__xludf.DUMMYFUNCTION("""COMPUTED_VALUE"""),1.0)</f>
        <v>1</v>
      </c>
    </row>
    <row r="22">
      <c r="A22" s="20">
        <f>IFERROR(__xludf.DUMMYFUNCTION("""COMPUTED_VALUE"""),105.0)</f>
        <v>105</v>
      </c>
      <c r="B22" s="20" t="str">
        <f>IFERROR(__xludf.DUMMYFUNCTION("""COMPUTED_VALUE"""),"BRYAN ZARAGOZA")</f>
        <v>BRYAN ZARAGOZA</v>
      </c>
      <c r="C22" s="20" t="str">
        <f>IFERROR(__xludf.DUMMYFUNCTION("""COMPUTED_VALUE"""),"RC CELTA")</f>
        <v>RC CELTA</v>
      </c>
      <c r="D22" s="20">
        <f>IFERROR(__xludf.DUMMYFUNCTION("""COMPUTED_VALUE"""),1.0)</f>
        <v>1</v>
      </c>
    </row>
    <row r="23">
      <c r="A23" s="20">
        <f>IFERROR(__xludf.DUMMYFUNCTION("""COMPUTED_VALUE"""),106.0)</f>
        <v>106</v>
      </c>
      <c r="B23" s="20" t="str">
        <f>IFERROR(__xludf.DUMMYFUNCTION("""COMPUTED_VALUE"""),"IAGO ASPAS")</f>
        <v>IAGO ASPAS</v>
      </c>
      <c r="C23" s="20" t="str">
        <f>IFERROR(__xludf.DUMMYFUNCTION("""COMPUTED_VALUE"""),"RC CELTA")</f>
        <v>RC CELTA</v>
      </c>
      <c r="D23" s="20">
        <f>IFERROR(__xludf.DUMMYFUNCTION("""COMPUTED_VALUE"""),1.0)</f>
        <v>1</v>
      </c>
    </row>
    <row r="24">
      <c r="A24" s="20">
        <f>IFERROR(__xludf.DUMMYFUNCTION("""COMPUTED_VALUE"""),107.0)</f>
        <v>107</v>
      </c>
      <c r="B24" s="20" t="str">
        <f>IFERROR(__xludf.DUMMYFUNCTION("""COMPUTED_VALUE"""),"BORJA IGLESIAS")</f>
        <v>BORJA IGLESIAS</v>
      </c>
      <c r="C24" s="20" t="str">
        <f>IFERROR(__xludf.DUMMYFUNCTION("""COMPUTED_VALUE"""),"RC CELTA")</f>
        <v>RC CELTA</v>
      </c>
      <c r="D24" s="20">
        <f>IFERROR(__xludf.DUMMYFUNCTION("""COMPUTED_VALUE"""),1.0)</f>
        <v>1</v>
      </c>
    </row>
    <row r="25">
      <c r="A25" s="20">
        <f>IFERROR(__xludf.DUMMYFUNCTION("""COMPUTED_VALUE"""),108.0)</f>
        <v>108</v>
      </c>
      <c r="B25" s="20" t="str">
        <f>IFERROR(__xludf.DUMMYFUNCTION("""COMPUTED_VALUE"""),"JUTGLÀ")</f>
        <v>JUTGLÀ</v>
      </c>
      <c r="C25" s="20" t="str">
        <f>IFERROR(__xludf.DUMMYFUNCTION("""COMPUTED_VALUE"""),"RC CELTA")</f>
        <v>RC CELTA</v>
      </c>
      <c r="D25" s="20">
        <f>IFERROR(__xludf.DUMMYFUNCTION("""COMPUTED_VALUE"""),1.0)</f>
        <v>1</v>
      </c>
    </row>
    <row r="26">
      <c r="A26" s="20">
        <f>IFERROR(__xludf.DUMMYFUNCTION("""COMPUTED_VALUE"""),110.0)</f>
        <v>110</v>
      </c>
      <c r="B26" s="20" t="str">
        <f>IFERROR(__xludf.DUMMYFUNCTION("""COMPUTED_VALUE"""),"IÑAKI PEÑA")</f>
        <v>IÑAKI PEÑA</v>
      </c>
      <c r="C26" s="20" t="str">
        <f>IFERROR(__xludf.DUMMYFUNCTION("""COMPUTED_VALUE"""),"ELCHE CF")</f>
        <v>ELCHE CF</v>
      </c>
      <c r="D26" s="20">
        <f>IFERROR(__xludf.DUMMYFUNCTION("""COMPUTED_VALUE"""),1.0)</f>
        <v>1</v>
      </c>
    </row>
    <row r="27">
      <c r="A27" s="20">
        <f>IFERROR(__xludf.DUMMYFUNCTION("""COMPUTED_VALUE"""),111.0)</f>
        <v>111</v>
      </c>
      <c r="B27" s="20" t="str">
        <f>IFERROR(__xludf.DUMMYFUNCTION("""COMPUTED_VALUE"""),"DITURO")</f>
        <v>DITURO</v>
      </c>
      <c r="C27" s="20" t="str">
        <f>IFERROR(__xludf.DUMMYFUNCTION("""COMPUTED_VALUE"""),"ELCHE CF")</f>
        <v>ELCHE CF</v>
      </c>
      <c r="D27" s="20">
        <f>IFERROR(__xludf.DUMMYFUNCTION("""COMPUTED_VALUE"""),1.0)</f>
        <v>1</v>
      </c>
    </row>
    <row r="28">
      <c r="A28" s="20">
        <f>IFERROR(__xludf.DUMMYFUNCTION("""COMPUTED_VALUE"""),112.0)</f>
        <v>112</v>
      </c>
      <c r="B28" s="20" t="str">
        <f>IFERROR(__xludf.DUMMYFUNCTION("""COMPUTED_VALUE"""),"ÁLVARO NÚÑEZ")</f>
        <v>ÁLVARO NÚÑEZ</v>
      </c>
      <c r="C28" s="20" t="str">
        <f>IFERROR(__xludf.DUMMYFUNCTION("""COMPUTED_VALUE"""),"ELCHE CF")</f>
        <v>ELCHE CF</v>
      </c>
      <c r="D28" s="20">
        <f>IFERROR(__xludf.DUMMYFUNCTION("""COMPUTED_VALUE"""),1.0)</f>
        <v>1</v>
      </c>
    </row>
    <row r="29">
      <c r="A29" s="20">
        <f>IFERROR(__xludf.DUMMYFUNCTION("""COMPUTED_VALUE"""),115.0)</f>
        <v>115</v>
      </c>
      <c r="B29" s="20" t="str">
        <f>IFERROR(__xludf.DUMMYFUNCTION("""COMPUTED_VALUE"""),"AFFENGRUBER")</f>
        <v>AFFENGRUBER</v>
      </c>
      <c r="C29" s="20" t="str">
        <f>IFERROR(__xludf.DUMMYFUNCTION("""COMPUTED_VALUE"""),"ELCHE CF")</f>
        <v>ELCHE CF</v>
      </c>
      <c r="D29" s="20">
        <f>IFERROR(__xludf.DUMMYFUNCTION("""COMPUTED_VALUE"""),1.0)</f>
        <v>1</v>
      </c>
    </row>
    <row r="30">
      <c r="A30" s="20">
        <f>IFERROR(__xludf.DUMMYFUNCTION("""COMPUTED_VALUE"""),117.0)</f>
        <v>117</v>
      </c>
      <c r="B30" s="20" t="str">
        <f>IFERROR(__xludf.DUMMYFUNCTION("""COMPUTED_VALUE"""),"FEDE REDONDO")</f>
        <v>FEDE REDONDO</v>
      </c>
      <c r="C30" s="20" t="str">
        <f>IFERROR(__xludf.DUMMYFUNCTION("""COMPUTED_VALUE"""),"ELCHE CF")</f>
        <v>ELCHE CF</v>
      </c>
      <c r="D30" s="20">
        <f>IFERROR(__xludf.DUMMYFUNCTION("""COMPUTED_VALUE"""),1.0)</f>
        <v>1</v>
      </c>
    </row>
    <row r="31">
      <c r="A31" s="20">
        <f>IFERROR(__xludf.DUMMYFUNCTION("""COMPUTED_VALUE"""),121.0)</f>
        <v>121</v>
      </c>
      <c r="B31" s="20" t="str">
        <f>IFERROR(__xludf.DUMMYFUNCTION("""COMPUTED_VALUE"""),"MARC AGUADO")</f>
        <v>MARC AGUADO</v>
      </c>
      <c r="C31" s="20" t="str">
        <f>IFERROR(__xludf.DUMMYFUNCTION("""COMPUTED_VALUE"""),"ELCHE CF")</f>
        <v>ELCHE CF</v>
      </c>
      <c r="D31" s="20">
        <f>IFERROR(__xludf.DUMMYFUNCTION("""COMPUTED_VALUE"""),1.0)</f>
        <v>1</v>
      </c>
    </row>
    <row r="32">
      <c r="A32" s="20">
        <f>IFERROR(__xludf.DUMMYFUNCTION("""COMPUTED_VALUE"""),137.0)</f>
        <v>137</v>
      </c>
      <c r="B32" s="20" t="str">
        <f>IFERROR(__xludf.DUMMYFUNCTION("""COMPUTED_VALUE"""),"EDU EXPÓSITO")</f>
        <v>EDU EXPÓSITO</v>
      </c>
      <c r="C32" s="20" t="str">
        <f>IFERROR(__xludf.DUMMYFUNCTION("""COMPUTED_VALUE"""),"RCD ESPANYOL")</f>
        <v>RCD ESPANYOL</v>
      </c>
      <c r="D32" s="20">
        <f>IFERROR(__xludf.DUMMYFUNCTION("""COMPUTED_VALUE"""),1.0)</f>
        <v>1</v>
      </c>
    </row>
    <row r="33">
      <c r="A33" s="20">
        <f>IFERROR(__xludf.DUMMYFUNCTION("""COMPUTED_VALUE"""),138.0)</f>
        <v>138</v>
      </c>
      <c r="B33" s="20" t="str">
        <f>IFERROR(__xludf.DUMMYFUNCTION("""COMPUTED_VALUE"""),"TERRATS")</f>
        <v>TERRATS</v>
      </c>
      <c r="C33" s="20" t="str">
        <f>IFERROR(__xludf.DUMMYFUNCTION("""COMPUTED_VALUE"""),"RCD ESPANYOL")</f>
        <v>RCD ESPANYOL</v>
      </c>
      <c r="D33" s="20">
        <f>IFERROR(__xludf.DUMMYFUNCTION("""COMPUTED_VALUE"""),1.0)</f>
        <v>1</v>
      </c>
    </row>
    <row r="34">
      <c r="A34" s="20">
        <f>IFERROR(__xludf.DUMMYFUNCTION("""COMPUTED_VALUE"""),140.0)</f>
        <v>140</v>
      </c>
      <c r="B34" s="20" t="str">
        <f>IFERROR(__xludf.DUMMYFUNCTION("""COMPUTED_VALUE"""),"DOLAN")</f>
        <v>DOLAN</v>
      </c>
      <c r="C34" s="20" t="str">
        <f>IFERROR(__xludf.DUMMYFUNCTION("""COMPUTED_VALUE"""),"RCD ESPANYOL")</f>
        <v>RCD ESPANYOL</v>
      </c>
      <c r="D34" s="20">
        <f>IFERROR(__xludf.DUMMYFUNCTION("""COMPUTED_VALUE"""),2.0)</f>
        <v>2</v>
      </c>
    </row>
    <row r="35">
      <c r="A35" s="20">
        <f>IFERROR(__xludf.DUMMYFUNCTION("""COMPUTED_VALUE"""),141.0)</f>
        <v>141</v>
      </c>
      <c r="B35" s="20" t="str">
        <f>IFERROR(__xludf.DUMMYFUNCTION("""COMPUTED_VALUE"""),"ROBERTO FERNÁNDEZ")</f>
        <v>ROBERTO FERNÁNDEZ</v>
      </c>
      <c r="C35" s="20" t="str">
        <f>IFERROR(__xludf.DUMMYFUNCTION("""COMPUTED_VALUE"""),"RCD ESPANYOL")</f>
        <v>RCD ESPANYOL</v>
      </c>
      <c r="D35" s="20">
        <f>IFERROR(__xludf.DUMMYFUNCTION("""COMPUTED_VALUE"""),1.0)</f>
        <v>1</v>
      </c>
    </row>
    <row r="36">
      <c r="A36" s="20">
        <f>IFERROR(__xludf.DUMMYFUNCTION("""COMPUTED_VALUE"""),144.0)</f>
        <v>144</v>
      </c>
      <c r="B36" s="20" t="str">
        <f>IFERROR(__xludf.DUMMYFUNCTION("""COMPUTED_VALUE"""),"PERE MILLA")</f>
        <v>PERE MILLA</v>
      </c>
      <c r="C36" s="20" t="str">
        <f>IFERROR(__xludf.DUMMYFUNCTION("""COMPUTED_VALUE"""),"RCD ESPANYOL")</f>
        <v>RCD ESPANYOL</v>
      </c>
      <c r="D36" s="20">
        <f>IFERROR(__xludf.DUMMYFUNCTION("""COMPUTED_VALUE"""),1.0)</f>
        <v>1</v>
      </c>
    </row>
    <row r="37">
      <c r="A37" s="20">
        <f>IFERROR(__xludf.DUMMYFUNCTION("""COMPUTED_VALUE"""),145.0)</f>
        <v>145</v>
      </c>
      <c r="B37" s="20" t="str">
        <f>IFERROR(__xludf.DUMMYFUNCTION("""COMPUTED_VALUE"""),"ESTADIO")</f>
        <v>ESTADIO</v>
      </c>
      <c r="C37" s="20" t="str">
        <f>IFERROR(__xludf.DUMMYFUNCTION("""COMPUTED_VALUE"""),"GETAFE CF")</f>
        <v>GETAFE CF</v>
      </c>
      <c r="D37" s="20">
        <f>IFERROR(__xludf.DUMMYFUNCTION("""COMPUTED_VALUE"""),1.0)</f>
        <v>1</v>
      </c>
    </row>
    <row r="38">
      <c r="A38" s="20">
        <f>IFERROR(__xludf.DUMMYFUNCTION("""COMPUTED_VALUE"""),146.0)</f>
        <v>146</v>
      </c>
      <c r="B38" s="20" t="str">
        <f>IFERROR(__xludf.DUMMYFUNCTION("""COMPUTED_VALUE"""),"DAVID SORIA")</f>
        <v>DAVID SORIA</v>
      </c>
      <c r="C38" s="20" t="str">
        <f>IFERROR(__xludf.DUMMYFUNCTION("""COMPUTED_VALUE"""),"GETAFE CF")</f>
        <v>GETAFE CF</v>
      </c>
      <c r="D38" s="20">
        <f>IFERROR(__xludf.DUMMYFUNCTION("""COMPUTED_VALUE"""),1.0)</f>
        <v>1</v>
      </c>
    </row>
    <row r="39">
      <c r="A39" s="20">
        <f>IFERROR(__xludf.DUMMYFUNCTION("""COMPUTED_VALUE"""),153.0)</f>
        <v>153</v>
      </c>
      <c r="B39" s="20" t="str">
        <f>IFERROR(__xludf.DUMMYFUNCTION("""COMPUTED_VALUE"""),"DIEGO RICO")</f>
        <v>DIEGO RICO</v>
      </c>
      <c r="C39" s="20" t="str">
        <f>IFERROR(__xludf.DUMMYFUNCTION("""COMPUTED_VALUE"""),"GETAFE CF")</f>
        <v>GETAFE CF</v>
      </c>
      <c r="D39" s="20">
        <f>IFERROR(__xludf.DUMMYFUNCTION("""COMPUTED_VALUE"""),1.0)</f>
        <v>1</v>
      </c>
    </row>
    <row r="40">
      <c r="A40" s="20">
        <f>IFERROR(__xludf.DUMMYFUNCTION("""COMPUTED_VALUE"""),163.0)</f>
        <v>163</v>
      </c>
      <c r="B40" s="20" t="str">
        <f>IFERROR(__xludf.DUMMYFUNCTION("""COMPUTED_VALUE"""),"ESCUDO")</f>
        <v>ESCUDO</v>
      </c>
      <c r="C40" s="20" t="str">
        <f>IFERROR(__xludf.DUMMYFUNCTION("""COMPUTED_VALUE"""),"GIRONA FC")</f>
        <v>GIRONA FC</v>
      </c>
      <c r="D40" s="20">
        <f>IFERROR(__xludf.DUMMYFUNCTION("""COMPUTED_VALUE"""),1.0)</f>
        <v>1</v>
      </c>
    </row>
    <row r="41">
      <c r="A41" s="20">
        <f>IFERROR(__xludf.DUMMYFUNCTION("""COMPUTED_VALUE"""),172.0)</f>
        <v>172</v>
      </c>
      <c r="B41" s="20" t="str">
        <f>IFERROR(__xludf.DUMMYFUNCTION("""COMPUTED_VALUE"""),"WITSEL")</f>
        <v>WITSEL</v>
      </c>
      <c r="C41" s="20" t="str">
        <f>IFERROR(__xludf.DUMMYFUNCTION("""COMPUTED_VALUE"""),"GIRONA FC")</f>
        <v>GIRONA FC</v>
      </c>
      <c r="D41" s="20">
        <f>IFERROR(__xludf.DUMMYFUNCTION("""COMPUTED_VALUE"""),1.0)</f>
        <v>1</v>
      </c>
    </row>
    <row r="42">
      <c r="A42" s="20">
        <f>IFERROR(__xludf.DUMMYFUNCTION("""COMPUTED_VALUE"""),174.0)</f>
        <v>174</v>
      </c>
      <c r="B42" s="20" t="str">
        <f>IFERROR(__xludf.DUMMYFUNCTION("""COMPUTED_VALUE"""),"IVÁN MARTÍN")</f>
        <v>IVÁN MARTÍN</v>
      </c>
      <c r="C42" s="20" t="str">
        <f>IFERROR(__xludf.DUMMYFUNCTION("""COMPUTED_VALUE"""),"GIRONA FC")</f>
        <v>GIRONA FC</v>
      </c>
      <c r="D42" s="20">
        <f>IFERROR(__xludf.DUMMYFUNCTION("""COMPUTED_VALUE"""),1.0)</f>
        <v>1</v>
      </c>
    </row>
    <row r="43">
      <c r="A43" s="20">
        <f>IFERROR(__xludf.DUMMYFUNCTION("""COMPUTED_VALUE"""),175.0)</f>
        <v>175</v>
      </c>
      <c r="B43" s="20" t="str">
        <f>IFERROR(__xludf.DUMMYFUNCTION("""COMPUTED_VALUE"""),"YÁSER ASPRILLA")</f>
        <v>YÁSER ASPRILLA</v>
      </c>
      <c r="C43" s="20" t="str">
        <f>IFERROR(__xludf.DUMMYFUNCTION("""COMPUTED_VALUE"""),"GIRONA FC")</f>
        <v>GIRONA FC</v>
      </c>
      <c r="D43" s="20">
        <f>IFERROR(__xludf.DUMMYFUNCTION("""COMPUTED_VALUE"""),3.0)</f>
        <v>3</v>
      </c>
    </row>
    <row r="44">
      <c r="A44" s="20">
        <f>IFERROR(__xludf.DUMMYFUNCTION("""COMPUTED_VALUE"""),176.0)</f>
        <v>176</v>
      </c>
      <c r="B44" s="20" t="str">
        <f>IFERROR(__xludf.DUMMYFUNCTION("""COMPUTED_VALUE"""),"JOEL ROCA")</f>
        <v>JOEL ROCA</v>
      </c>
      <c r="C44" s="20" t="str">
        <f>IFERROR(__xludf.DUMMYFUNCTION("""COMPUTED_VALUE"""),"GIRONA FC")</f>
        <v>GIRONA FC</v>
      </c>
      <c r="D44" s="20">
        <f>IFERROR(__xludf.DUMMYFUNCTION("""COMPUTED_VALUE"""),1.0)</f>
        <v>1</v>
      </c>
    </row>
    <row r="45">
      <c r="A45" s="20">
        <f>IFERROR(__xludf.DUMMYFUNCTION("""COMPUTED_VALUE"""),177.0)</f>
        <v>177</v>
      </c>
      <c r="B45" s="20" t="str">
        <f>IFERROR(__xludf.DUMMYFUNCTION("""COMPUTED_VALUE"""),"TSYGANKOV")</f>
        <v>TSYGANKOV</v>
      </c>
      <c r="C45" s="20" t="str">
        <f>IFERROR(__xludf.DUMMYFUNCTION("""COMPUTED_VALUE"""),"GIRONA FC")</f>
        <v>GIRONA FC</v>
      </c>
      <c r="D45" s="20">
        <f>IFERROR(__xludf.DUMMYFUNCTION("""COMPUTED_VALUE"""),1.0)</f>
        <v>1</v>
      </c>
    </row>
    <row r="46">
      <c r="A46" s="20">
        <f>IFERROR(__xludf.DUMMYFUNCTION("""COMPUTED_VALUE"""),202.0)</f>
        <v>202</v>
      </c>
      <c r="B46" s="20" t="str">
        <f>IFERROR(__xludf.DUMMYFUNCTION("""COMPUTED_VALUE"""),"CARVAJAL")</f>
        <v>CARVAJAL</v>
      </c>
      <c r="C46" s="20" t="str">
        <f>IFERROR(__xludf.DUMMYFUNCTION("""COMPUTED_VALUE"""),"REAL MADRID")</f>
        <v>REAL MADRID</v>
      </c>
      <c r="D46" s="20">
        <f>IFERROR(__xludf.DUMMYFUNCTION("""COMPUTED_VALUE"""),2.0)</f>
        <v>2</v>
      </c>
    </row>
    <row r="47">
      <c r="A47" s="20">
        <f>IFERROR(__xludf.DUMMYFUNCTION("""COMPUTED_VALUE"""),209.0)</f>
        <v>209</v>
      </c>
      <c r="B47" s="20" t="str">
        <f>IFERROR(__xludf.DUMMYFUNCTION("""COMPUTED_VALUE"""),"FEDE VALVERDE")</f>
        <v>FEDE VALVERDE</v>
      </c>
      <c r="C47" s="20" t="str">
        <f>IFERROR(__xludf.DUMMYFUNCTION("""COMPUTED_VALUE"""),"REAL MADRID")</f>
        <v>REAL MADRID</v>
      </c>
      <c r="D47" s="20">
        <f>IFERROR(__xludf.DUMMYFUNCTION("""COMPUTED_VALUE"""),2.0)</f>
        <v>2</v>
      </c>
    </row>
    <row r="48">
      <c r="A48" s="20">
        <f>IFERROR(__xludf.DUMMYFUNCTION("""COMPUTED_VALUE"""),211.0)</f>
        <v>211</v>
      </c>
      <c r="B48" s="20" t="str">
        <f>IFERROR(__xludf.DUMMYFUNCTION("""COMPUTED_VALUE"""),"GÜLER")</f>
        <v>GÜLER</v>
      </c>
      <c r="C48" s="20" t="str">
        <f>IFERROR(__xludf.DUMMYFUNCTION("""COMPUTED_VALUE"""),"REAL MADRID")</f>
        <v>REAL MADRID</v>
      </c>
      <c r="D48" s="20">
        <f>IFERROR(__xludf.DUMMYFUNCTION("""COMPUTED_VALUE"""),1.0)</f>
        <v>1</v>
      </c>
    </row>
    <row r="49">
      <c r="A49" s="20">
        <f>IFERROR(__xludf.DUMMYFUNCTION("""COMPUTED_VALUE"""),213.0)</f>
        <v>213</v>
      </c>
      <c r="B49" s="20" t="str">
        <f>IFERROR(__xludf.DUMMYFUNCTION("""COMPUTED_VALUE"""),"RODRYGO")</f>
        <v>RODRYGO</v>
      </c>
      <c r="C49" s="20" t="str">
        <f>IFERROR(__xludf.DUMMYFUNCTION("""COMPUTED_VALUE"""),"REAL MADRID")</f>
        <v>REAL MADRID</v>
      </c>
      <c r="D49" s="20">
        <f>IFERROR(__xludf.DUMMYFUNCTION("""COMPUTED_VALUE"""),1.0)</f>
        <v>1</v>
      </c>
    </row>
    <row r="50">
      <c r="A50" s="20">
        <f>IFERROR(__xludf.DUMMYFUNCTION("""COMPUTED_VALUE"""),216.0)</f>
        <v>216</v>
      </c>
      <c r="B50" s="20" t="str">
        <f>IFERROR(__xludf.DUMMYFUNCTION("""COMPUTED_VALUE"""),"VINÍCIUS")</f>
        <v>VINÍCIUS</v>
      </c>
      <c r="C50" s="20" t="str">
        <f>IFERROR(__xludf.DUMMYFUNCTION("""COMPUTED_VALUE"""),"REAL MADRID")</f>
        <v>REAL MADRID</v>
      </c>
      <c r="D50" s="20">
        <f>IFERROR(__xludf.DUMMYFUNCTION("""COMPUTED_VALUE"""),2.0)</f>
        <v>2</v>
      </c>
    </row>
    <row r="51">
      <c r="A51" s="20">
        <f>IFERROR(__xludf.DUMMYFUNCTION("""COMPUTED_VALUE"""),222.0)</f>
        <v>222</v>
      </c>
      <c r="B51" s="20" t="str">
        <f>IFERROR(__xludf.DUMMYFUNCTION("""COMPUTED_VALUE"""),"VALJENT")</f>
        <v>VALJENT</v>
      </c>
      <c r="C51" s="20" t="str">
        <f>IFERROR(__xludf.DUMMYFUNCTION("""COMPUTED_VALUE"""),"RCD MALLORCA")</f>
        <v>RCD MALLORCA</v>
      </c>
      <c r="D51" s="20">
        <f>IFERROR(__xludf.DUMMYFUNCTION("""COMPUTED_VALUE"""),1.0)</f>
        <v>1</v>
      </c>
    </row>
    <row r="52">
      <c r="A52" s="20">
        <f>IFERROR(__xludf.DUMMYFUNCTION("""COMPUTED_VALUE"""),225.0)</f>
        <v>225</v>
      </c>
      <c r="B52" s="20" t="str">
        <f>IFERROR(__xludf.DUMMYFUNCTION("""COMPUTED_VALUE"""),"MOJICA")</f>
        <v>MOJICA</v>
      </c>
      <c r="C52" s="20" t="str">
        <f>IFERROR(__xludf.DUMMYFUNCTION("""COMPUTED_VALUE"""),"RCD MALLORCA")</f>
        <v>RCD MALLORCA</v>
      </c>
      <c r="D52" s="20">
        <f>IFERROR(__xludf.DUMMYFUNCTION("""COMPUTED_VALUE"""),1.0)</f>
        <v>1</v>
      </c>
    </row>
    <row r="53">
      <c r="A53" s="20">
        <f>IFERROR(__xludf.DUMMYFUNCTION("""COMPUTED_VALUE"""),234.0)</f>
        <v>234</v>
      </c>
      <c r="B53" s="20" t="str">
        <f>IFERROR(__xludf.DUMMYFUNCTION("""COMPUTED_VALUE"""),"JAN VIRGILI")</f>
        <v>JAN VIRGILI</v>
      </c>
      <c r="C53" s="20" t="str">
        <f>IFERROR(__xludf.DUMMYFUNCTION("""COMPUTED_VALUE"""),"RCD MALLORCA")</f>
        <v>RCD MALLORCA</v>
      </c>
      <c r="D53" s="20">
        <f>IFERROR(__xludf.DUMMYFUNCTION("""COMPUTED_VALUE"""),1.0)</f>
        <v>1</v>
      </c>
    </row>
    <row r="54">
      <c r="A54" s="20">
        <f>IFERROR(__xludf.DUMMYFUNCTION("""COMPUTED_VALUE"""),235.0)</f>
        <v>235</v>
      </c>
      <c r="B54" s="20" t="str">
        <f>IFERROR(__xludf.DUMMYFUNCTION("""COMPUTED_VALUE"""),"ESCUDO")</f>
        <v>ESCUDO</v>
      </c>
      <c r="C54" s="20" t="str">
        <f>IFERROR(__xludf.DUMMYFUNCTION("""COMPUTED_VALUE"""),"CA OSASUNA")</f>
        <v>CA OSASUNA</v>
      </c>
      <c r="D54" s="20">
        <f>IFERROR(__xludf.DUMMYFUNCTION("""COMPUTED_VALUE"""),1.0)</f>
        <v>1</v>
      </c>
    </row>
    <row r="55">
      <c r="A55" s="20">
        <f>IFERROR(__xludf.DUMMYFUNCTION("""COMPUTED_VALUE"""),236.0)</f>
        <v>236</v>
      </c>
      <c r="B55" s="20" t="str">
        <f>IFERROR(__xludf.DUMMYFUNCTION("""COMPUTED_VALUE"""),"SERGIO HERRERA")</f>
        <v>SERGIO HERRERA</v>
      </c>
      <c r="C55" s="20" t="str">
        <f>IFERROR(__xludf.DUMMYFUNCTION("""COMPUTED_VALUE"""),"CA OSASUNA")</f>
        <v>CA OSASUNA</v>
      </c>
      <c r="D55" s="20">
        <f>IFERROR(__xludf.DUMMYFUNCTION("""COMPUTED_VALUE"""),1.0)</f>
        <v>1</v>
      </c>
    </row>
    <row r="56">
      <c r="A56" s="20">
        <f>IFERROR(__xludf.DUMMYFUNCTION("""COMPUTED_VALUE"""),237.0)</f>
        <v>237</v>
      </c>
      <c r="B56" s="20" t="str">
        <f>IFERROR(__xludf.DUMMYFUNCTION("""COMPUTED_VALUE"""),"AITOR FERNÁNDEZ")</f>
        <v>AITOR FERNÁNDEZ</v>
      </c>
      <c r="C56" s="20" t="str">
        <f>IFERROR(__xludf.DUMMYFUNCTION("""COMPUTED_VALUE"""),"CA OSASUNA")</f>
        <v>CA OSASUNA</v>
      </c>
      <c r="D56" s="20">
        <f>IFERROR(__xludf.DUMMYFUNCTION("""COMPUTED_VALUE"""),2.0)</f>
        <v>2</v>
      </c>
    </row>
    <row r="57">
      <c r="A57" s="20">
        <f>IFERROR(__xludf.DUMMYFUNCTION("""COMPUTED_VALUE"""),247.0)</f>
        <v>247</v>
      </c>
      <c r="B57" s="20" t="str">
        <f>IFERROR(__xludf.DUMMYFUNCTION("""COMPUTED_VALUE"""),"RUBÉN GARCÍA")</f>
        <v>RUBÉN GARCÍA</v>
      </c>
      <c r="C57" s="20" t="str">
        <f>IFERROR(__xludf.DUMMYFUNCTION("""COMPUTED_VALUE"""),"CA OSASUNA")</f>
        <v>CA OSASUNA</v>
      </c>
      <c r="D57" s="20">
        <f>IFERROR(__xludf.DUMMYFUNCTION("""COMPUTED_VALUE"""),1.0)</f>
        <v>1</v>
      </c>
    </row>
    <row r="58">
      <c r="A58" s="20">
        <f>IFERROR(__xludf.DUMMYFUNCTION("""COMPUTED_VALUE"""),248.0)</f>
        <v>248</v>
      </c>
      <c r="B58" s="20" t="str">
        <f>IFERROR(__xludf.DUMMYFUNCTION("""COMPUTED_VALUE"""),"AIMAR OROZ")</f>
        <v>AIMAR OROZ</v>
      </c>
      <c r="C58" s="20" t="str">
        <f>IFERROR(__xludf.DUMMYFUNCTION("""COMPUTED_VALUE"""),"CA OSASUNA")</f>
        <v>CA OSASUNA</v>
      </c>
      <c r="D58" s="20">
        <f>IFERROR(__xludf.DUMMYFUNCTION("""COMPUTED_VALUE"""),1.0)</f>
        <v>1</v>
      </c>
    </row>
    <row r="59">
      <c r="A59" s="20">
        <f>IFERROR(__xludf.DUMMYFUNCTION("""COMPUTED_VALUE"""),250.0)</f>
        <v>250</v>
      </c>
      <c r="B59" s="20" t="str">
        <f>IFERROR(__xludf.DUMMYFUNCTION("""COMPUTED_VALUE"""),"RAÚL GARCÍA")</f>
        <v>RAÚL GARCÍA</v>
      </c>
      <c r="C59" s="20" t="str">
        <f>IFERROR(__xludf.DUMMYFUNCTION("""COMPUTED_VALUE"""),"CA OSASUNA")</f>
        <v>CA OSASUNA</v>
      </c>
      <c r="D59" s="20">
        <f>IFERROR(__xludf.DUMMYFUNCTION("""COMPUTED_VALUE"""),1.0)</f>
        <v>1</v>
      </c>
    </row>
    <row r="60">
      <c r="A60" s="20">
        <f>IFERROR(__xludf.DUMMYFUNCTION("""COMPUTED_VALUE"""),255.0)</f>
        <v>255</v>
      </c>
      <c r="B60" s="20" t="str">
        <f>IFERROR(__xludf.DUMMYFUNCTION("""COMPUTED_VALUE"""),"MOLDOVAN")</f>
        <v>MOLDOVAN</v>
      </c>
      <c r="C60" s="20" t="str">
        <f>IFERROR(__xludf.DUMMYFUNCTION("""COMPUTED_VALUE"""),"REAL OVIEDO")</f>
        <v>REAL OVIEDO</v>
      </c>
      <c r="D60" s="20">
        <f>IFERROR(__xludf.DUMMYFUNCTION("""COMPUTED_VALUE"""),1.0)</f>
        <v>1</v>
      </c>
    </row>
    <row r="61">
      <c r="A61" s="20">
        <f>IFERROR(__xludf.DUMMYFUNCTION("""COMPUTED_VALUE"""),258.0)</f>
        <v>258</v>
      </c>
      <c r="B61" s="20" t="str">
        <f>IFERROR(__xludf.DUMMYFUNCTION("""COMPUTED_VALUE"""),"DAVID CARMO")</f>
        <v>DAVID CARMO</v>
      </c>
      <c r="C61" s="20" t="str">
        <f>IFERROR(__xludf.DUMMYFUNCTION("""COMPUTED_VALUE"""),"REAL OVIEDO")</f>
        <v>REAL OVIEDO</v>
      </c>
      <c r="D61" s="20">
        <f>IFERROR(__xludf.DUMMYFUNCTION("""COMPUTED_VALUE"""),1.0)</f>
        <v>1</v>
      </c>
    </row>
    <row r="62">
      <c r="A62" s="20">
        <f>IFERROR(__xludf.DUMMYFUNCTION("""COMPUTED_VALUE"""),259.0)</f>
        <v>259</v>
      </c>
      <c r="B62" s="20" t="str">
        <f>IFERROR(__xludf.DUMMYFUNCTION("""COMPUTED_VALUE"""),"DANI CALVO")</f>
        <v>DANI CALVO</v>
      </c>
      <c r="C62" s="20" t="str">
        <f>IFERROR(__xludf.DUMMYFUNCTION("""COMPUTED_VALUE"""),"REAL OVIEDO")</f>
        <v>REAL OVIEDO</v>
      </c>
      <c r="D62" s="20">
        <f>IFERROR(__xludf.DUMMYFUNCTION("""COMPUTED_VALUE"""),1.0)</f>
        <v>1</v>
      </c>
    </row>
    <row r="63">
      <c r="A63" s="20">
        <f>IFERROR(__xludf.DUMMYFUNCTION("""COMPUTED_VALUE"""),262.0)</f>
        <v>262</v>
      </c>
      <c r="B63" s="20" t="str">
        <f>IFERROR(__xludf.DUMMYFUNCTION("""COMPUTED_VALUE"""),"REINA")</f>
        <v>REINA</v>
      </c>
      <c r="C63" s="20" t="str">
        <f>IFERROR(__xludf.DUMMYFUNCTION("""COMPUTED_VALUE"""),"REAL OVIEDO")</f>
        <v>REAL OVIEDO</v>
      </c>
      <c r="D63" s="20">
        <f>IFERROR(__xludf.DUMMYFUNCTION("""COMPUTED_VALUE"""),1.0)</f>
        <v>1</v>
      </c>
    </row>
    <row r="64">
      <c r="A64" s="20">
        <f>IFERROR(__xludf.DUMMYFUNCTION("""COMPUTED_VALUE"""),267.0)</f>
        <v>267</v>
      </c>
      <c r="B64" s="20" t="str">
        <f>IFERROR(__xludf.DUMMYFUNCTION("""COMPUTED_VALUE"""),"BREKALO")</f>
        <v>BREKALO</v>
      </c>
      <c r="C64" s="20" t="str">
        <f>IFERROR(__xludf.DUMMYFUNCTION("""COMPUTED_VALUE"""),"REAL OVIEDO")</f>
        <v>REAL OVIEDO</v>
      </c>
      <c r="D64" s="20">
        <f>IFERROR(__xludf.DUMMYFUNCTION("""COMPUTED_VALUE"""),1.0)</f>
        <v>1</v>
      </c>
    </row>
    <row r="65">
      <c r="A65" s="20">
        <f>IFERROR(__xludf.DUMMYFUNCTION("""COMPUTED_VALUE"""),269.0)</f>
        <v>269</v>
      </c>
      <c r="B65" s="20" t="str">
        <f>IFERROR(__xludf.DUMMYFUNCTION("""COMPUTED_VALUE"""),"FEDE VIÑAS")</f>
        <v>FEDE VIÑAS</v>
      </c>
      <c r="C65" s="20" t="str">
        <f>IFERROR(__xludf.DUMMYFUNCTION("""COMPUTED_VALUE"""),"REAL OVIEDO")</f>
        <v>REAL OVIEDO</v>
      </c>
      <c r="D65" s="20">
        <f>IFERROR(__xludf.DUMMYFUNCTION("""COMPUTED_VALUE"""),1.0)</f>
        <v>1</v>
      </c>
    </row>
    <row r="66">
      <c r="A66" s="20">
        <f>IFERROR(__xludf.DUMMYFUNCTION("""COMPUTED_VALUE"""),277.0)</f>
        <v>277</v>
      </c>
      <c r="B66" s="20" t="str">
        <f>IFERROR(__xludf.DUMMYFUNCTION("""COMPUTED_VALUE"""),"LUIZ FELIPE")</f>
        <v>LUIZ FELIPE</v>
      </c>
      <c r="C66" s="20" t="str">
        <f>IFERROR(__xludf.DUMMYFUNCTION("""COMPUTED_VALUE"""),"RAYO VALLECANO")</f>
        <v>RAYO VALLECANO</v>
      </c>
      <c r="D66" s="20">
        <f>IFERROR(__xludf.DUMMYFUNCTION("""COMPUTED_VALUE"""),1.0)</f>
        <v>1</v>
      </c>
    </row>
    <row r="67">
      <c r="A67" s="20">
        <f>IFERROR(__xludf.DUMMYFUNCTION("""COMPUTED_VALUE"""),278.0)</f>
        <v>278</v>
      </c>
      <c r="B67" s="20" t="str">
        <f>IFERROR(__xludf.DUMMYFUNCTION("""COMPUTED_VALUE"""),"PEP CHAVARRÍA")</f>
        <v>PEP CHAVARRÍA</v>
      </c>
      <c r="C67" s="20" t="str">
        <f>IFERROR(__xludf.DUMMYFUNCTION("""COMPUTED_VALUE"""),"RAYO VALLECANO")</f>
        <v>RAYO VALLECANO</v>
      </c>
      <c r="D67" s="20">
        <f>IFERROR(__xludf.DUMMYFUNCTION("""COMPUTED_VALUE"""),2.0)</f>
        <v>2</v>
      </c>
    </row>
    <row r="68">
      <c r="A68" s="20">
        <f>IFERROR(__xludf.DUMMYFUNCTION("""COMPUTED_VALUE"""),283.0)</f>
        <v>283</v>
      </c>
      <c r="B68" s="20" t="str">
        <f>IFERROR(__xludf.DUMMYFUNCTION("""COMPUTED_VALUE"""),"PEDRO DÍAZ")</f>
        <v>PEDRO DÍAZ</v>
      </c>
      <c r="C68" s="20" t="str">
        <f>IFERROR(__xludf.DUMMYFUNCTION("""COMPUTED_VALUE"""),"RAYO VALLECANO")</f>
        <v>RAYO VALLECANO</v>
      </c>
      <c r="D68" s="20">
        <f>IFERROR(__xludf.DUMMYFUNCTION("""COMPUTED_VALUE"""),1.0)</f>
        <v>1</v>
      </c>
    </row>
    <row r="69">
      <c r="A69" s="20">
        <f>IFERROR(__xludf.DUMMYFUNCTION("""COMPUTED_VALUE"""),286.0)</f>
        <v>286</v>
      </c>
      <c r="B69" s="20" t="str">
        <f>IFERROR(__xludf.DUMMYFUNCTION("""COMPUTED_VALUE"""),"CAMELLO")</f>
        <v>CAMELLO</v>
      </c>
      <c r="C69" s="20" t="str">
        <f>IFERROR(__xludf.DUMMYFUNCTION("""COMPUTED_VALUE"""),"RAYO VALLECANO")</f>
        <v>RAYO VALLECANO</v>
      </c>
      <c r="D69" s="20">
        <f>IFERROR(__xludf.DUMMYFUNCTION("""COMPUTED_VALUE"""),1.0)</f>
        <v>1</v>
      </c>
    </row>
    <row r="70">
      <c r="A70" s="20">
        <f>IFERROR(__xludf.DUMMYFUNCTION("""COMPUTED_VALUE"""),290.0)</f>
        <v>290</v>
      </c>
      <c r="B70" s="20" t="str">
        <f>IFERROR(__xludf.DUMMYFUNCTION("""COMPUTED_VALUE"""),"REMIRO")</f>
        <v>REMIRO</v>
      </c>
      <c r="C70" s="20" t="str">
        <f>IFERROR(__xludf.DUMMYFUNCTION("""COMPUTED_VALUE"""),"REAL SOCIEDAD")</f>
        <v>REAL SOCIEDAD</v>
      </c>
      <c r="D70" s="20">
        <f>IFERROR(__xludf.DUMMYFUNCTION("""COMPUTED_VALUE"""),1.0)</f>
        <v>1</v>
      </c>
    </row>
    <row r="71">
      <c r="A71" s="20">
        <f>IFERROR(__xludf.DUMMYFUNCTION("""COMPUTED_VALUE"""),295.0)</f>
        <v>295</v>
      </c>
      <c r="B71" s="20" t="str">
        <f>IFERROR(__xludf.DUMMYFUNCTION("""COMPUTED_VALUE"""),"CALETA-CAR")</f>
        <v>CALETA-CAR</v>
      </c>
      <c r="C71" s="20" t="str">
        <f>IFERROR(__xludf.DUMMYFUNCTION("""COMPUTED_VALUE"""),"REAL SOCIEDAD")</f>
        <v>REAL SOCIEDAD</v>
      </c>
      <c r="D71" s="20">
        <f>IFERROR(__xludf.DUMMYFUNCTION("""COMPUTED_VALUE"""),1.0)</f>
        <v>1</v>
      </c>
    </row>
    <row r="72">
      <c r="A72" s="20">
        <f>IFERROR(__xludf.DUMMYFUNCTION("""COMPUTED_VALUE"""),296.0)</f>
        <v>296</v>
      </c>
      <c r="B72" s="20" t="str">
        <f>IFERROR(__xludf.DUMMYFUNCTION("""COMPUTED_VALUE"""),"SERGIO GÓMEZ")</f>
        <v>SERGIO GÓMEZ</v>
      </c>
      <c r="C72" s="20" t="str">
        <f>IFERROR(__xludf.DUMMYFUNCTION("""COMPUTED_VALUE"""),"REAL SOCIEDAD")</f>
        <v>REAL SOCIEDAD</v>
      </c>
      <c r="D72" s="20">
        <f>IFERROR(__xludf.DUMMYFUNCTION("""COMPUTED_VALUE"""),1.0)</f>
        <v>1</v>
      </c>
    </row>
    <row r="73">
      <c r="A73" s="20">
        <f>IFERROR(__xludf.DUMMYFUNCTION("""COMPUTED_VALUE"""),299.0)</f>
        <v>299</v>
      </c>
      <c r="B73" s="20" t="str">
        <f>IFERROR(__xludf.DUMMYFUNCTION("""COMPUTED_VALUE"""),"PABLO MARIN")</f>
        <v>PABLO MARIN</v>
      </c>
      <c r="C73" s="20" t="str">
        <f>IFERROR(__xludf.DUMMYFUNCTION("""COMPUTED_VALUE"""),"REAL SOCIEDAD")</f>
        <v>REAL SOCIEDAD</v>
      </c>
      <c r="D73" s="20">
        <f>IFERROR(__xludf.DUMMYFUNCTION("""COMPUTED_VALUE"""),1.0)</f>
        <v>1</v>
      </c>
    </row>
    <row r="74">
      <c r="A74" s="20">
        <f>IFERROR(__xludf.DUMMYFUNCTION("""COMPUTED_VALUE"""),309.0)</f>
        <v>309</v>
      </c>
      <c r="B74" s="20" t="str">
        <f>IFERROR(__xludf.DUMMYFUNCTION("""COMPUTED_VALUE"""),"NYLAND")</f>
        <v>NYLAND</v>
      </c>
      <c r="C74" s="20" t="str">
        <f>IFERROR(__xludf.DUMMYFUNCTION("""COMPUTED_VALUE"""),"SEVILLA FC")</f>
        <v>SEVILLA FC</v>
      </c>
      <c r="D74" s="20">
        <f>IFERROR(__xludf.DUMMYFUNCTION("""COMPUTED_VALUE"""),1.0)</f>
        <v>1</v>
      </c>
    </row>
    <row r="75">
      <c r="A75" s="20">
        <f>IFERROR(__xludf.DUMMYFUNCTION("""COMPUTED_VALUE"""),312.0)</f>
        <v>312</v>
      </c>
      <c r="B75" s="20" t="str">
        <f>IFERROR(__xludf.DUMMYFUNCTION("""COMPUTED_VALUE"""),"AZPILICUETA")</f>
        <v>AZPILICUETA</v>
      </c>
      <c r="C75" s="20" t="str">
        <f>IFERROR(__xludf.DUMMYFUNCTION("""COMPUTED_VALUE"""),"SEVILLA FC")</f>
        <v>SEVILLA FC</v>
      </c>
      <c r="D75" s="20">
        <f>IFERROR(__xludf.DUMMYFUNCTION("""COMPUTED_VALUE"""),1.0)</f>
        <v>1</v>
      </c>
    </row>
    <row r="76">
      <c r="A76" s="20">
        <f>IFERROR(__xludf.DUMMYFUNCTION("""COMPUTED_VALUE"""),313.0)</f>
        <v>313</v>
      </c>
      <c r="B76" s="20" t="str">
        <f>IFERROR(__xludf.DUMMYFUNCTION("""COMPUTED_VALUE"""),"KIKE SALAS")</f>
        <v>KIKE SALAS</v>
      </c>
      <c r="C76" s="20" t="str">
        <f>IFERROR(__xludf.DUMMYFUNCTION("""COMPUTED_VALUE"""),"SEVILLA FC")</f>
        <v>SEVILLA FC</v>
      </c>
      <c r="D76" s="20">
        <f>IFERROR(__xludf.DUMMYFUNCTION("""COMPUTED_VALUE"""),1.0)</f>
        <v>1</v>
      </c>
    </row>
    <row r="77">
      <c r="A77" s="20">
        <f>IFERROR(__xludf.DUMMYFUNCTION("""COMPUTED_VALUE"""),321.0)</f>
        <v>321</v>
      </c>
      <c r="B77" s="20" t="str">
        <f>IFERROR(__xludf.DUMMYFUNCTION("""COMPUTED_VALUE"""),"EJUKE")</f>
        <v>EJUKE</v>
      </c>
      <c r="C77" s="20" t="str">
        <f>IFERROR(__xludf.DUMMYFUNCTION("""COMPUTED_VALUE"""),"SEVILLA FC")</f>
        <v>SEVILLA FC</v>
      </c>
      <c r="D77" s="20">
        <f>IFERROR(__xludf.DUMMYFUNCTION("""COMPUTED_VALUE"""),3.0)</f>
        <v>3</v>
      </c>
    </row>
    <row r="78">
      <c r="A78" s="20">
        <f>IFERROR(__xludf.DUMMYFUNCTION("""COMPUTED_VALUE"""),323.0)</f>
        <v>323</v>
      </c>
      <c r="B78" s="20" t="str">
        <f>IFERROR(__xludf.DUMMYFUNCTION("""COMPUTED_VALUE"""),"AKOR ADAMS")</f>
        <v>AKOR ADAMS</v>
      </c>
      <c r="C78" s="20" t="str">
        <f>IFERROR(__xludf.DUMMYFUNCTION("""COMPUTED_VALUE"""),"SEVILLA FC")</f>
        <v>SEVILLA FC</v>
      </c>
      <c r="D78" s="20">
        <f>IFERROR(__xludf.DUMMYFUNCTION("""COMPUTED_VALUE"""),2.0)</f>
        <v>2</v>
      </c>
    </row>
    <row r="79">
      <c r="A79" s="20">
        <f>IFERROR(__xludf.DUMMYFUNCTION("""COMPUTED_VALUE"""),325.0)</f>
        <v>325</v>
      </c>
      <c r="B79" s="20" t="str">
        <f>IFERROR(__xludf.DUMMYFUNCTION("""COMPUTED_VALUE"""),"ESCUDO")</f>
        <v>ESCUDO</v>
      </c>
      <c r="C79" s="20" t="str">
        <f>IFERROR(__xludf.DUMMYFUNCTION("""COMPUTED_VALUE"""),"VALENCIA CF")</f>
        <v>VALENCIA CF</v>
      </c>
      <c r="D79" s="20">
        <f>IFERROR(__xludf.DUMMYFUNCTION("""COMPUTED_VALUE"""),1.0)</f>
        <v>1</v>
      </c>
    </row>
    <row r="80">
      <c r="A80" s="20">
        <f>IFERROR(__xludf.DUMMYFUNCTION("""COMPUTED_VALUE"""),327.0)</f>
        <v>327</v>
      </c>
      <c r="B80" s="20" t="str">
        <f>IFERROR(__xludf.DUMMYFUNCTION("""COMPUTED_VALUE"""),"DIMITRIEVSKI")</f>
        <v>DIMITRIEVSKI</v>
      </c>
      <c r="C80" s="20" t="str">
        <f>IFERROR(__xludf.DUMMYFUNCTION("""COMPUTED_VALUE"""),"VALENCIA CF")</f>
        <v>VALENCIA CF</v>
      </c>
      <c r="D80" s="20">
        <f>IFERROR(__xludf.DUMMYFUNCTION("""COMPUTED_VALUE"""),1.0)</f>
        <v>1</v>
      </c>
    </row>
    <row r="81">
      <c r="A81" s="20">
        <f>IFERROR(__xludf.DUMMYFUNCTION("""COMPUTED_VALUE"""),328.0)</f>
        <v>328</v>
      </c>
      <c r="B81" s="20" t="str">
        <f>IFERROR(__xludf.DUMMYFUNCTION("""COMPUTED_VALUE"""),"FOULQUIER")</f>
        <v>FOULQUIER</v>
      </c>
      <c r="C81" s="20" t="str">
        <f>IFERROR(__xludf.DUMMYFUNCTION("""COMPUTED_VALUE"""),"VALENCIA CF")</f>
        <v>VALENCIA CF</v>
      </c>
      <c r="D81" s="20">
        <f>IFERROR(__xludf.DUMMYFUNCTION("""COMPUTED_VALUE"""),1.0)</f>
        <v>1</v>
      </c>
    </row>
    <row r="82">
      <c r="A82" s="20">
        <f>IFERROR(__xludf.DUMMYFUNCTION("""COMPUTED_VALUE"""),330.0)</f>
        <v>330</v>
      </c>
      <c r="B82" s="20" t="str">
        <f>IFERROR(__xludf.DUMMYFUNCTION("""COMPUTED_VALUE"""),"TÁRREGA")</f>
        <v>TÁRREGA</v>
      </c>
      <c r="C82" s="20" t="str">
        <f>IFERROR(__xludf.DUMMYFUNCTION("""COMPUTED_VALUE"""),"VALENCIA CF")</f>
        <v>VALENCIA CF</v>
      </c>
      <c r="D82" s="20">
        <f>IFERROR(__xludf.DUMMYFUNCTION("""COMPUTED_VALUE"""),1.0)</f>
        <v>1</v>
      </c>
    </row>
    <row r="83">
      <c r="A83" s="20">
        <f>IFERROR(__xludf.DUMMYFUNCTION("""COMPUTED_VALUE"""),331.0)</f>
        <v>331</v>
      </c>
      <c r="B83" s="20" t="str">
        <f>IFERROR(__xludf.DUMMYFUNCTION("""COMPUTED_VALUE"""),"COPETE")</f>
        <v>COPETE</v>
      </c>
      <c r="C83" s="20" t="str">
        <f>IFERROR(__xludf.DUMMYFUNCTION("""COMPUTED_VALUE"""),"VALENCIA CF")</f>
        <v>VALENCIA CF</v>
      </c>
      <c r="D83" s="20">
        <f>IFERROR(__xludf.DUMMYFUNCTION("""COMPUTED_VALUE"""),1.0)</f>
        <v>1</v>
      </c>
    </row>
    <row r="84">
      <c r="A84" s="20">
        <f>IFERROR(__xludf.DUMMYFUNCTION("""COMPUTED_VALUE"""),333.0)</f>
        <v>333</v>
      </c>
      <c r="B84" s="20" t="str">
        <f>IFERROR(__xludf.DUMMYFUNCTION("""COMPUTED_VALUE"""),"GAYÀ")</f>
        <v>GAYÀ</v>
      </c>
      <c r="C84" s="20" t="str">
        <f>IFERROR(__xludf.DUMMYFUNCTION("""COMPUTED_VALUE"""),"VALENCIA CF")</f>
        <v>VALENCIA CF</v>
      </c>
      <c r="D84" s="20">
        <f>IFERROR(__xludf.DUMMYFUNCTION("""COMPUTED_VALUE"""),1.0)</f>
        <v>1</v>
      </c>
    </row>
    <row r="85">
      <c r="A85" s="20">
        <f>IFERROR(__xludf.DUMMYFUNCTION("""COMPUTED_VALUE"""),338.0)</f>
        <v>338</v>
      </c>
      <c r="B85" s="20" t="str">
        <f>IFERROR(__xludf.DUMMYFUNCTION("""COMPUTED_VALUE"""),"LUIS RIOJA")</f>
        <v>LUIS RIOJA</v>
      </c>
      <c r="C85" s="20" t="str">
        <f>IFERROR(__xludf.DUMMYFUNCTION("""COMPUTED_VALUE"""),"VALENCIA CF")</f>
        <v>VALENCIA CF</v>
      </c>
      <c r="D85" s="20">
        <f>IFERROR(__xludf.DUMMYFUNCTION("""COMPUTED_VALUE"""),2.0)</f>
        <v>2</v>
      </c>
    </row>
    <row r="86">
      <c r="A86" s="20">
        <f>IFERROR(__xludf.DUMMYFUNCTION("""COMPUTED_VALUE"""),343.0)</f>
        <v>343</v>
      </c>
      <c r="B86" s="20" t="str">
        <f>IFERROR(__xludf.DUMMYFUNCTION("""COMPUTED_VALUE"""),"ESCUDO")</f>
        <v>ESCUDO</v>
      </c>
      <c r="C86" s="20" t="str">
        <f>IFERROR(__xludf.DUMMYFUNCTION("""COMPUTED_VALUE"""),"VILLARREAL CF")</f>
        <v>VILLARREAL CF</v>
      </c>
      <c r="D86" s="20">
        <f>IFERROR(__xludf.DUMMYFUNCTION("""COMPUTED_VALUE"""),1.0)</f>
        <v>1</v>
      </c>
    </row>
    <row r="87">
      <c r="A87" s="20">
        <f>IFERROR(__xludf.DUMMYFUNCTION("""COMPUTED_VALUE"""),343.0)</f>
        <v>343</v>
      </c>
      <c r="B87" s="20" t="str">
        <f>IFERROR(__xludf.DUMMYFUNCTION("""COMPUTED_VALUE"""),"ESTADIO")</f>
        <v>ESTADIO</v>
      </c>
      <c r="C87" s="20" t="str">
        <f>IFERROR(__xludf.DUMMYFUNCTION("""COMPUTED_VALUE"""),"VILLARREAL CF")</f>
        <v>VILLARREAL CF</v>
      </c>
      <c r="D87" s="20">
        <f>IFERROR(__xludf.DUMMYFUNCTION("""COMPUTED_VALUE"""),1.0)</f>
        <v>1</v>
      </c>
    </row>
    <row r="88">
      <c r="A88" s="20">
        <f>IFERROR(__xludf.DUMMYFUNCTION("""COMPUTED_VALUE"""),350.0)</f>
        <v>350</v>
      </c>
      <c r="B88" s="20" t="str">
        <f>IFERROR(__xludf.DUMMYFUNCTION("""COMPUTED_VALUE"""),"SERGI CARDONA")</f>
        <v>SERGI CARDONA</v>
      </c>
      <c r="C88" s="20" t="str">
        <f>IFERROR(__xludf.DUMMYFUNCTION("""COMPUTED_VALUE"""),"VILLARREAL CF")</f>
        <v>VILLARREAL CF</v>
      </c>
      <c r="D88" s="20">
        <f>IFERROR(__xludf.DUMMYFUNCTION("""COMPUTED_VALUE"""),1.0)</f>
        <v>1</v>
      </c>
    </row>
    <row r="89">
      <c r="A89" s="20">
        <f>IFERROR(__xludf.DUMMYFUNCTION("""COMPUTED_VALUE"""),351.0)</f>
        <v>351</v>
      </c>
      <c r="B89" s="20" t="str">
        <f>IFERROR(__xludf.DUMMYFUNCTION("""COMPUTED_VALUE"""),"SANTI COMESAÑA")</f>
        <v>SANTI COMESAÑA</v>
      </c>
      <c r="C89" s="20" t="str">
        <f>IFERROR(__xludf.DUMMYFUNCTION("""COMPUTED_VALUE"""),"VILLARREAL CF")</f>
        <v>VILLARREAL CF</v>
      </c>
      <c r="D89" s="20">
        <f>IFERROR(__xludf.DUMMYFUNCTION("""COMPUTED_VALUE"""),1.0)</f>
        <v>1</v>
      </c>
    </row>
    <row r="90">
      <c r="A90" s="20">
        <f>IFERROR(__xludf.DUMMYFUNCTION("""COMPUTED_VALUE"""),352.0)</f>
        <v>352</v>
      </c>
      <c r="B90" s="20" t="str">
        <f>IFERROR(__xludf.DUMMYFUNCTION("""COMPUTED_VALUE"""),"PAPE GUEYE")</f>
        <v>PAPE GUEYE</v>
      </c>
      <c r="C90" s="20" t="str">
        <f>IFERROR(__xludf.DUMMYFUNCTION("""COMPUTED_VALUE"""),"VILLARREAL CF")</f>
        <v>VILLARREAL CF</v>
      </c>
      <c r="D90" s="20">
        <f>IFERROR(__xludf.DUMMYFUNCTION("""COMPUTED_VALUE"""),1.0)</f>
        <v>1</v>
      </c>
    </row>
    <row r="91">
      <c r="A91" s="20">
        <f>IFERROR(__xludf.DUMMYFUNCTION("""COMPUTED_VALUE"""),361.0)</f>
        <v>361</v>
      </c>
      <c r="B91" s="20" t="str">
        <f>IFERROR(__xludf.DUMMYFUNCTION("""COMPUTED_VALUE"""),"D. ALAVÉS")</f>
        <v>D. ALAVÉS</v>
      </c>
      <c r="C91" s="20" t="str">
        <f>IFERROR(__xludf.DUMMYFUNCTION("""COMPUTED_VALUE"""),"¡VAMOS!")</f>
        <v>¡VAMOS!</v>
      </c>
      <c r="D91" s="20">
        <f>IFERROR(__xludf.DUMMYFUNCTION("""COMPUTED_VALUE"""),1.0)</f>
        <v>1</v>
      </c>
    </row>
    <row r="92">
      <c r="A92" s="20">
        <f>IFERROR(__xludf.DUMMYFUNCTION("""COMPUTED_VALUE"""),369.0)</f>
        <v>369</v>
      </c>
      <c r="B92" s="20" t="str">
        <f>IFERROR(__xludf.DUMMYFUNCTION("""COMPUTED_VALUE"""),"GETAFE CF")</f>
        <v>GETAFE CF</v>
      </c>
      <c r="C92" s="20" t="str">
        <f>IFERROR(__xludf.DUMMYFUNCTION("""COMPUTED_VALUE"""),"¡VAMOS!")</f>
        <v>¡VAMOS!</v>
      </c>
      <c r="D92" s="20">
        <f>IFERROR(__xludf.DUMMYFUNCTION("""COMPUTED_VALUE"""),1.0)</f>
        <v>1</v>
      </c>
    </row>
    <row r="93">
      <c r="A93" s="20">
        <f>IFERROR(__xludf.DUMMYFUNCTION("""COMPUTED_VALUE"""),371.0)</f>
        <v>371</v>
      </c>
      <c r="B93" s="20" t="str">
        <f>IFERROR(__xludf.DUMMYFUNCTION("""COMPUTED_VALUE"""),"LEVANTE UD")</f>
        <v>LEVANTE UD</v>
      </c>
      <c r="C93" s="20" t="str">
        <f>IFERROR(__xludf.DUMMYFUNCTION("""COMPUTED_VALUE"""),"¡VAMOS!")</f>
        <v>¡VAMOS!</v>
      </c>
      <c r="D93" s="20">
        <f>IFERROR(__xludf.DUMMYFUNCTION("""COMPUTED_VALUE"""),1.0)</f>
        <v>1</v>
      </c>
    </row>
    <row r="94">
      <c r="A94" s="20">
        <f>IFERROR(__xludf.DUMMYFUNCTION("""COMPUTED_VALUE"""),387.0)</f>
        <v>387</v>
      </c>
      <c r="B94" s="20" t="str">
        <f>IFERROR(__xludf.DUMMYFUNCTION("""COMPUTED_VALUE"""),"AGIRREZABALA")</f>
        <v>AGIRREZABALA</v>
      </c>
      <c r="C94" s="20" t="str">
        <f>IFERROR(__xludf.DUMMYFUNCTION("""COMPUTED_VALUE"""),"VALENCIA CF")</f>
        <v>VALENCIA CF</v>
      </c>
      <c r="D94" s="20">
        <f>IFERROR(__xludf.DUMMYFUNCTION("""COMPUTED_VALUE"""),2.0)</f>
        <v>2</v>
      </c>
    </row>
    <row r="95">
      <c r="A95" s="20">
        <f>IFERROR(__xludf.DUMMYFUNCTION("""COMPUTED_VALUE"""),392.0)</f>
        <v>392</v>
      </c>
      <c r="B95" s="20" t="str">
        <f>IFERROR(__xludf.DUMMYFUNCTION("""COMPUTED_VALUE"""),"CABRERA")</f>
        <v>CABRERA</v>
      </c>
      <c r="C95" s="20" t="str">
        <f>IFERROR(__xludf.DUMMYFUNCTION("""COMPUTED_VALUE"""),"RCD ESPANYOL")</f>
        <v>RCD ESPANYOL</v>
      </c>
      <c r="D95" s="20">
        <f>IFERROR(__xludf.DUMMYFUNCTION("""COMPUTED_VALUE"""),1.0)</f>
        <v>1</v>
      </c>
    </row>
    <row r="96">
      <c r="A96" s="20">
        <f>IFERROR(__xludf.DUMMYFUNCTION("""COMPUTED_VALUE"""),398.0)</f>
        <v>398</v>
      </c>
      <c r="B96" s="20" t="str">
        <f>IFERROR(__xludf.DUMMYFUNCTION("""COMPUTED_VALUE"""),"DRO")</f>
        <v>DRO</v>
      </c>
      <c r="C96" s="20" t="str">
        <f>IFERROR(__xludf.DUMMYFUNCTION("""COMPUTED_VALUE"""),"FC BARCELONA")</f>
        <v>FC BARCELONA</v>
      </c>
      <c r="D96" s="20">
        <f>IFERROR(__xludf.DUMMYFUNCTION("""COMPUTED_VALUE"""),1.0)</f>
        <v>1</v>
      </c>
    </row>
    <row r="97">
      <c r="A97" s="20">
        <f>IFERROR(__xludf.DUMMYFUNCTION("""COMPUTED_VALUE"""),400.0)</f>
        <v>400</v>
      </c>
      <c r="B97" s="20" t="str">
        <f>IFERROR(__xludf.DUMMYFUNCTION("""COMPUTED_VALUE"""),"PABLO GARCÍA")</f>
        <v>PABLO GARCÍA</v>
      </c>
      <c r="C97" s="20" t="str">
        <f>IFERROR(__xludf.DUMMYFUNCTION("""COMPUTED_VALUE"""),"REAL BETIS")</f>
        <v>REAL BETIS</v>
      </c>
      <c r="D97" s="20">
        <f>IFERROR(__xludf.DUMMYFUNCTION("""COMPUTED_VALUE"""),1.0)</f>
        <v>1</v>
      </c>
    </row>
    <row r="98">
      <c r="A98" s="20">
        <f>IFERROR(__xludf.DUMMYFUNCTION("""COMPUTED_VALUE"""),404.0)</f>
        <v>404</v>
      </c>
      <c r="B98" s="20" t="str">
        <f>IFERROR(__xludf.DUMMYFUNCTION("""COMPUTED_VALUE"""),"LISO")</f>
        <v>LISO</v>
      </c>
      <c r="C98" s="20" t="str">
        <f>IFERROR(__xludf.DUMMYFUNCTION("""COMPUTED_VALUE"""),"GETAFE CF")</f>
        <v>GETAFE CF</v>
      </c>
      <c r="D98" s="20">
        <f>IFERROR(__xludf.DUMMYFUNCTION("""COMPUTED_VALUE"""),1.0)</f>
        <v>1</v>
      </c>
    </row>
    <row r="99">
      <c r="A99" s="20">
        <f>IFERROR(__xludf.DUMMYFUNCTION("""COMPUTED_VALUE"""),409.0)</f>
        <v>409</v>
      </c>
      <c r="B99" s="20" t="str">
        <f>IFERROR(__xludf.DUMMYFUNCTION("""COMPUTED_VALUE"""),"FRAN GONZÁLEZ")</f>
        <v>FRAN GONZÁLEZ</v>
      </c>
      <c r="C99" s="20" t="str">
        <f>IFERROR(__xludf.DUMMYFUNCTION("""COMPUTED_VALUE"""),"REAL MADRID")</f>
        <v>REAL MADRID</v>
      </c>
      <c r="D99" s="20">
        <f>IFERROR(__xludf.DUMMYFUNCTION("""COMPUTED_VALUE"""),1.0)</f>
        <v>1</v>
      </c>
    </row>
    <row r="100">
      <c r="A100" s="20">
        <f>IFERROR(__xludf.DUMMYFUNCTION("""COMPUTED_VALUE"""),413.0)</f>
        <v>413</v>
      </c>
      <c r="B100" s="20" t="str">
        <f>IFERROR(__xludf.DUMMYFUNCTION("""COMPUTED_VALUE"""),"VÍCTOR MUÑOZ")</f>
        <v>VÍCTOR MUÑOZ</v>
      </c>
      <c r="C100" s="20" t="str">
        <f>IFERROR(__xludf.DUMMYFUNCTION("""COMPUTED_VALUE"""),"CA OSASUNA")</f>
        <v>CA OSASUNA</v>
      </c>
      <c r="D100" s="20">
        <f>IFERROR(__xludf.DUMMYFUNCTION("""COMPUTED_VALUE"""),1.0)</f>
        <v>1</v>
      </c>
    </row>
    <row r="101">
      <c r="A101" s="20">
        <f>IFERROR(__xludf.DUMMYFUNCTION("""COMPUTED_VALUE"""),415.0)</f>
        <v>415</v>
      </c>
      <c r="B101" s="20" t="str">
        <f>IFERROR(__xludf.DUMMYFUNCTION("""COMPUTED_VALUE"""),"BARRIOS")</f>
        <v>BARRIOS</v>
      </c>
      <c r="C101" s="20" t="str">
        <f>IFERROR(__xludf.DUMMYFUNCTION("""COMPUTED_VALUE"""),"ATLÉTICO DE MADRID")</f>
        <v>ATLÉTICO DE MADRID</v>
      </c>
      <c r="D101" s="20">
        <f>IFERROR(__xludf.DUMMYFUNCTION("""COMPUTED_VALUE"""),2.0)</f>
        <v>2</v>
      </c>
    </row>
    <row r="102">
      <c r="A102" s="20">
        <f>IFERROR(__xludf.DUMMYFUNCTION("""COMPUTED_VALUE"""),416.0)</f>
        <v>416</v>
      </c>
      <c r="B102" s="20" t="str">
        <f>IFERROR(__xludf.DUMMYFUNCTION("""COMPUTED_VALUE"""),"SOTELO")</f>
        <v>SOTELO</v>
      </c>
      <c r="C102" s="20" t="str">
        <f>IFERROR(__xludf.DUMMYFUNCTION("""COMPUTED_VALUE"""),"RC CELTA")</f>
        <v>RC CELTA</v>
      </c>
      <c r="D102" s="20">
        <f>IFERROR(__xludf.DUMMYFUNCTION("""COMPUTED_VALUE"""),1.0)</f>
        <v>1</v>
      </c>
    </row>
    <row r="103">
      <c r="A103" s="20">
        <f>IFERROR(__xludf.DUMMYFUNCTION("""COMPUTED_VALUE"""),419.0)</f>
        <v>419</v>
      </c>
      <c r="B103" s="20" t="str">
        <f>IFERROR(__xludf.DUMMYFUNCTION("""COMPUTED_VALUE"""),"MILLA")</f>
        <v>MILLA</v>
      </c>
      <c r="C103" s="20" t="str">
        <f>IFERROR(__xludf.DUMMYFUNCTION("""COMPUTED_VALUE"""),"GETAFE CF")</f>
        <v>GETAFE CF</v>
      </c>
      <c r="D103" s="20">
        <f>IFERROR(__xludf.DUMMYFUNCTION("""COMPUTED_VALUE"""),1.0)</f>
        <v>1</v>
      </c>
    </row>
    <row r="104">
      <c r="A104" s="20">
        <f>IFERROR(__xludf.DUMMYFUNCTION("""COMPUTED_VALUE"""),422.0)</f>
        <v>422</v>
      </c>
      <c r="B104" s="20" t="str">
        <f>IFERROR(__xludf.DUMMYFUNCTION("""COMPUTED_VALUE"""),"CAZORLA")</f>
        <v>CAZORLA</v>
      </c>
      <c r="C104" s="20" t="str">
        <f>IFERROR(__xludf.DUMMYFUNCTION("""COMPUTED_VALUE"""),"REAL OVIEDO")</f>
        <v>REAL OVIEDO</v>
      </c>
      <c r="D104" s="20">
        <f>IFERROR(__xludf.DUMMYFUNCTION("""COMPUTED_VALUE"""),1.0)</f>
        <v>1</v>
      </c>
    </row>
    <row r="105">
      <c r="A105" s="20">
        <f>IFERROR(__xludf.DUMMYFUNCTION("""COMPUTED_VALUE"""),425.0)</f>
        <v>425</v>
      </c>
      <c r="B105" s="20" t="str">
        <f>IFERROR(__xludf.DUMMYFUNCTION("""COMPUTED_VALUE"""),"CARLOS VICENTE")</f>
        <v>CARLOS VICENTE</v>
      </c>
      <c r="C105" s="20" t="str">
        <f>IFERROR(__xludf.DUMMYFUNCTION("""COMPUTED_VALUE"""),"D. ALAVÉS")</f>
        <v>D. ALAVÉS</v>
      </c>
      <c r="D105" s="20">
        <f>IFERROR(__xludf.DUMMYFUNCTION("""COMPUTED_VALUE"""),1.0)</f>
        <v>1</v>
      </c>
    </row>
    <row r="106">
      <c r="A106" s="20">
        <f>IFERROR(__xludf.DUMMYFUNCTION("""COMPUTED_VALUE"""),436.0)</f>
        <v>436</v>
      </c>
      <c r="B106" s="20" t="str">
        <f>IFERROR(__xludf.DUMMYFUNCTION("""COMPUTED_VALUE"""),"CARLOS SOLER")</f>
        <v>CARLOS SOLER</v>
      </c>
      <c r="C106" s="20" t="str">
        <f>IFERROR(__xludf.DUMMYFUNCTION("""COMPUTED_VALUE"""),"REAL SOCIEDAD")</f>
        <v>REAL SOCIEDAD</v>
      </c>
      <c r="D106" s="20">
        <f>IFERROR(__xludf.DUMMYFUNCTION("""COMPUTED_VALUE"""),1.0)</f>
        <v>1</v>
      </c>
    </row>
    <row r="107">
      <c r="A107" s="20">
        <f>IFERROR(__xludf.DUMMYFUNCTION("""COMPUTED_VALUE"""),439.0)</f>
        <v>439</v>
      </c>
      <c r="B107" s="20" t="str">
        <f>IFERROR(__xludf.DUMMYFUNCTION("""COMPUTED_VALUE"""),"ALEXIS SÁNCHEZ")</f>
        <v>ALEXIS SÁNCHEZ</v>
      </c>
      <c r="C107" s="20" t="str">
        <f>IFERROR(__xludf.DUMMYFUNCTION("""COMPUTED_VALUE"""),"SEVILLA FC")</f>
        <v>SEVILLA FC</v>
      </c>
      <c r="D107" s="20">
        <f>IFERROR(__xludf.DUMMYFUNCTION("""COMPUTED_VALUE"""),1.0)</f>
        <v>1</v>
      </c>
    </row>
    <row r="108">
      <c r="A108" s="20">
        <f>IFERROR(__xludf.DUMMYFUNCTION("""COMPUTED_VALUE"""),444.0)</f>
        <v>444</v>
      </c>
      <c r="B108" s="20" t="str">
        <f>IFERROR(__xludf.DUMMYFUNCTION("""COMPUTED_VALUE"""),"OBLAK")</f>
        <v>OBLAK</v>
      </c>
      <c r="C108" s="20" t="str">
        <f>IFERROR(__xludf.DUMMYFUNCTION("""COMPUTED_VALUE"""),"ATLÉTICO DE MADRID")</f>
        <v>ATLÉTICO DE MADRID</v>
      </c>
      <c r="D108" s="20">
        <f>IFERROR(__xludf.DUMMYFUNCTION("""COMPUTED_VALUE"""),1.0)</f>
        <v>1</v>
      </c>
    </row>
    <row r="109">
      <c r="A109" s="20">
        <f>IFERROR(__xludf.DUMMYFUNCTION("""COMPUTED_VALUE"""),449.0)</f>
        <v>449</v>
      </c>
      <c r="B109" s="20" t="str">
        <f>IFERROR(__xludf.DUMMYFUNCTION("""COMPUTED_VALUE"""),"KOUNDÉ")</f>
        <v>KOUNDÉ</v>
      </c>
      <c r="C109" s="20" t="str">
        <f>IFERROR(__xludf.DUMMYFUNCTION("""COMPUTED_VALUE"""),"FC BARCELONA")</f>
        <v>FC BARCELONA</v>
      </c>
      <c r="D109" s="20">
        <f>IFERROR(__xludf.DUMMYFUNCTION("""COMPUTED_VALUE"""),1.0)</f>
        <v>1</v>
      </c>
    </row>
    <row r="110">
      <c r="A110" s="20">
        <f>IFERROR(__xludf.DUMMYFUNCTION("""COMPUTED_VALUE"""),452.0)</f>
        <v>452</v>
      </c>
      <c r="B110" s="20" t="str">
        <f>IFERROR(__xludf.DUMMYFUNCTION("""COMPUTED_VALUE"""),"LEWANDOWSKI")</f>
        <v>LEWANDOWSKI</v>
      </c>
      <c r="C110" s="20" t="str">
        <f>IFERROR(__xludf.DUMMYFUNCTION("""COMPUTED_VALUE"""),"FC BARCELONA")</f>
        <v>FC BARCELONA</v>
      </c>
      <c r="D110" s="20">
        <f>IFERROR(__xludf.DUMMYFUNCTION("""COMPUTED_VALUE"""),1.0)</f>
        <v>1</v>
      </c>
    </row>
    <row r="111">
      <c r="A111" s="20">
        <f>IFERROR(__xludf.DUMMYFUNCTION("""COMPUTED_VALUE"""),456.0)</f>
        <v>456</v>
      </c>
      <c r="B111" s="20" t="str">
        <f>IFERROR(__xludf.DUMMYFUNCTION("""COMPUTED_VALUE"""),"ANTONY")</f>
        <v>ANTONY</v>
      </c>
      <c r="C111" s="20" t="str">
        <f>IFERROR(__xludf.DUMMYFUNCTION("""COMPUTED_VALUE"""),"REAL BETIS")</f>
        <v>REAL BETIS</v>
      </c>
      <c r="D111" s="20">
        <f>IFERROR(__xludf.DUMMYFUNCTION("""COMPUTED_VALUE"""),1.0)</f>
        <v>1</v>
      </c>
    </row>
    <row r="112">
      <c r="A112" s="20">
        <f>IFERROR(__xludf.DUMMYFUNCTION("""COMPUTED_VALUE"""),458.0)</f>
        <v>458</v>
      </c>
      <c r="B112" s="20" t="str">
        <f>IFERROR(__xludf.DUMMYFUNCTION("""COMPUTED_VALUE"""),"CARRERAS")</f>
        <v>CARRERAS</v>
      </c>
      <c r="C112" s="20" t="str">
        <f>IFERROR(__xludf.DUMMYFUNCTION("""COMPUTED_VALUE"""),"REAL MADRID")</f>
        <v>REAL MADRID</v>
      </c>
      <c r="D112" s="20">
        <f>IFERROR(__xludf.DUMMYFUNCTION("""COMPUTED_VALUE"""),1.0)</f>
        <v>1</v>
      </c>
    </row>
    <row r="113">
      <c r="A113" s="20">
        <f>IFERROR(__xludf.DUMMYFUNCTION("""COMPUTED_VALUE"""),469.0)</f>
        <v>469</v>
      </c>
      <c r="B113" s="20" t="str">
        <f>IFERROR(__xludf.DUMMYFUNCTION("""COMPUTED_VALUE"""),"NICO WILLIAMS")</f>
        <v>NICO WILLIAMS</v>
      </c>
      <c r="C113" s="20" t="str">
        <f>IFERROR(__xludf.DUMMYFUNCTION("""COMPUTED_VALUE"""),"BALÓN DE ORO (ATHLETIC)")</f>
        <v>BALÓN DE ORO (ATHLETIC)</v>
      </c>
      <c r="D113" s="20">
        <f>IFERROR(__xludf.DUMMYFUNCTION("""COMPUTED_VALUE"""),2.0)</f>
        <v>2</v>
      </c>
    </row>
    <row r="114">
      <c r="A114" s="20">
        <f>IFERROR(__xludf.DUMMYFUNCTION("""COMPUTED_VALUE"""),477.0)</f>
        <v>477</v>
      </c>
      <c r="B114" s="20" t="str">
        <f>IFERROR(__xludf.DUMMYFUNCTION("""COMPUTED_VALUE"""),"CARD INVENCIBLE")</f>
        <v>CARD INVENCIBLE</v>
      </c>
      <c r="C114" s="20" t="str">
        <f>IFERROR(__xludf.DUMMYFUNCTION("""COMPUTED_VALUE"""),"ÚNICA")</f>
        <v>ÚNICA</v>
      </c>
      <c r="D114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2.0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2.0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1.0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  <c r="E117" s="22">
        <v>1.0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1.0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3.0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  <c r="E177" s="22">
        <v>1.0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2.0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2.0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2.0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  <c r="E247" s="22">
        <v>1.0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1.0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 t="s">
        <v>20</v>
      </c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  <c r="E255" s="22">
        <v>1.0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  <c r="E267" s="22">
        <v>1.0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1.0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1.0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2.0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  <c r="E4" s="22">
        <v>1.0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  <c r="E13" s="22">
        <v>1.0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  <c r="E10" s="22">
        <v>1.0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  <c r="E8" s="22">
        <v>1.0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 t="s">
        <v>20</v>
      </c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