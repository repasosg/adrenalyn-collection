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<sst xmlns="http://schemas.openxmlformats.org/spreadsheetml/2006/main" count="1494" uniqueCount="422">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</sst>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46070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309</v>
      </c>
      <c r="D3" s="9">
        <f t="shared" ref="D3:D12" si="1">B3-C3</f>
        <v>51</v>
      </c>
      <c r="E3" s="10">
        <f t="shared" ref="E3:E4" si="2">(C3/B3)</f>
        <v>0.8583333333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17</v>
      </c>
      <c r="D5" s="9">
        <f t="shared" si="1"/>
        <v>3</v>
      </c>
      <c r="E5" s="10">
        <f t="shared" ref="E5:E13" si="3">C5/B5</f>
        <v>0.85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5</v>
      </c>
      <c r="D6" s="15">
        <f t="shared" si="1"/>
        <v>2</v>
      </c>
      <c r="E6" s="10">
        <f t="shared" si="3"/>
        <v>0.7142857143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7</v>
      </c>
      <c r="D7" s="15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17</v>
      </c>
      <c r="D8" s="15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6</v>
      </c>
      <c r="D9" s="15">
        <f t="shared" si="1"/>
        <v>3</v>
      </c>
      <c r="E9" s="10">
        <f t="shared" si="3"/>
        <v>0.6666666667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16</v>
      </c>
      <c r="D10" s="15">
        <f t="shared" si="1"/>
        <v>2</v>
      </c>
      <c r="E10" s="10">
        <f t="shared" si="3"/>
        <v>0.8888888889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22</v>
      </c>
      <c r="D11" s="15">
        <f t="shared" si="1"/>
        <v>4</v>
      </c>
      <c r="E11" s="10">
        <f t="shared" si="3"/>
        <v>0.8461538462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15</v>
      </c>
      <c r="D12" s="15">
        <f t="shared" si="1"/>
        <v>-4</v>
      </c>
      <c r="E12" s="10">
        <f t="shared" si="3"/>
        <v>1.363636364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434</v>
      </c>
      <c r="D13" s="17">
        <f t="shared" si="4"/>
        <v>64</v>
      </c>
      <c r="E13" s="18">
        <f t="shared" si="3"/>
        <v>0.8714859438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 t="str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Estadios!A:A&lt;&gt;"""")}"),"#VALUE!")</f>
        <v>#VALUE!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IFERROR(__xludf.DUMMYFUNCTION("""COMPUTED_VALUE"""),1.0)</f>
        <v>1</v>
      </c>
      <c r="B2" s="20" t="str">
        <f>IFERROR(__xludf.DUMMYFUNCTION("""COMPUTED_VALUE"""),"ESTADIO")</f>
        <v>ESTADIO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IFERROR(__xludf.DUMMYFUNCTION("""COMPUTED_VALUE"""),3.0)</f>
        <v>3</v>
      </c>
      <c r="B3" s="20" t="str">
        <f>IFERROR(__xludf.DUMMYFUNCTION("""COMPUTED_VALUE"""),"RAÚL FERNÁNDEZ")</f>
        <v>RAÚL FERNÁNDEZ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IFERROR(__xludf.DUMMYFUNCTION("""COMPUTED_VALUE"""),4.0)</f>
        <v>4</v>
      </c>
      <c r="B4" s="20" t="str">
        <f>IFERROR(__xludf.DUMMYFUNCTION("""COMPUTED_VALUE"""),"JONNY")</f>
        <v>JONNY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IFERROR(__xludf.DUMMYFUNCTION("""COMPUTED_VALUE"""),7.0)</f>
        <v>7</v>
      </c>
      <c r="B5" s="20" t="str">
        <f>IFERROR(__xludf.DUMMYFUNCTION("""COMPUTED_VALUE"""),"PARADA")</f>
        <v>PARADA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IFERROR(__xludf.DUMMYFUNCTION("""COMPUTED_VALUE"""),15.0)</f>
        <v>15</v>
      </c>
      <c r="B6" s="20" t="str">
        <f>IFERROR(__xludf.DUMMYFUNCTION("""COMPUTED_VALUE"""),"CARLOS VICENTE")</f>
        <v>CARLOS VICENTE</v>
      </c>
      <c r="C6" s="20" t="str">
        <f>IFERROR(__xludf.DUMMYFUNCTION("""COMPUTED_VALUE"""),"D. ALAVÉS")</f>
        <v>D. ALAVÉS</v>
      </c>
      <c r="D6" s="20">
        <f>IFERROR(__xludf.DUMMYFUNCTION("""COMPUTED_VALUE"""),2.0)</f>
        <v>2</v>
      </c>
    </row>
    <row r="7">
      <c r="A7" s="20">
        <f>IFERROR(__xludf.DUMMYFUNCTION("""COMPUTED_VALUE"""),16.0)</f>
        <v>16</v>
      </c>
      <c r="B7" s="20" t="str">
        <f>IFERROR(__xludf.DUMMYFUNCTION("""COMPUTED_VALUE"""),"TONI MARTÍNEZ")</f>
        <v>TONI MARTÍNEZ</v>
      </c>
      <c r="C7" s="20" t="str">
        <f>IFERROR(__xludf.DUMMYFUNCTION("""COMPUTED_VALUE"""),"D. ALAVÉS")</f>
        <v>D. ALAVÉS</v>
      </c>
      <c r="D7" s="20">
        <f>IFERROR(__xludf.DUMMYFUNCTION("""COMPUTED_VALUE"""),1.0)</f>
        <v>1</v>
      </c>
    </row>
    <row r="8">
      <c r="A8" s="20">
        <f>IFERROR(__xludf.DUMMYFUNCTION("""COMPUTED_VALUE"""),17.0)</f>
        <v>17</v>
      </c>
      <c r="B8" s="20" t="str">
        <f>IFERROR(__xludf.DUMMYFUNCTION("""COMPUTED_VALUE"""),"BOYÉ")</f>
        <v>BOYÉ</v>
      </c>
      <c r="C8" s="20" t="str">
        <f>IFERROR(__xludf.DUMMYFUNCTION("""COMPUTED_VALUE"""),"D. ALAVÉS")</f>
        <v>D. ALAVÉS</v>
      </c>
      <c r="D8" s="20">
        <f>IFERROR(__xludf.DUMMYFUNCTION("""COMPUTED_VALUE"""),1.0)</f>
        <v>1</v>
      </c>
    </row>
    <row r="9">
      <c r="A9" s="20">
        <f>IFERROR(__xludf.DUMMYFUNCTION("""COMPUTED_VALUE"""),18.0)</f>
        <v>18</v>
      </c>
      <c r="B9" s="20" t="str">
        <f>IFERROR(__xludf.DUMMYFUNCTION("""COMPUTED_VALUE"""),"MARIANO")</f>
        <v>MARIANO</v>
      </c>
      <c r="C9" s="20" t="str">
        <f>IFERROR(__xludf.DUMMYFUNCTION("""COMPUTED_VALUE"""),"D. ALAVÉS")</f>
        <v>D. ALAVÉS</v>
      </c>
      <c r="D9" s="20">
        <f>IFERROR(__xludf.DUMMYFUNCTION("""COMPUTED_VALUE"""),1.0)</f>
        <v>1</v>
      </c>
    </row>
    <row r="10">
      <c r="A10" s="20">
        <f>IFERROR(__xludf.DUMMYFUNCTION("""COMPUTED_VALUE"""),19.0)</f>
        <v>19</v>
      </c>
      <c r="B10" s="20" t="str">
        <f>IFERROR(__xludf.DUMMYFUNCTION("""COMPUTED_VALUE"""),"ESTADIO")</f>
        <v>ESTADIO</v>
      </c>
      <c r="C10" s="20" t="str">
        <f>IFERROR(__xludf.DUMMYFUNCTION("""COMPUTED_VALUE"""),"ATHLETIC CLUB")</f>
        <v>ATHLETIC CLUB</v>
      </c>
      <c r="D10" s="20">
        <f>IFERROR(__xludf.DUMMYFUNCTION("""COMPUTED_VALUE"""),1.0)</f>
        <v>1</v>
      </c>
    </row>
    <row r="11">
      <c r="A11" s="20">
        <f>IFERROR(__xludf.DUMMYFUNCTION("""COMPUTED_VALUE"""),21.0)</f>
        <v>21</v>
      </c>
      <c r="B11" s="20" t="str">
        <f>IFERROR(__xludf.DUMMYFUNCTION("""COMPUTED_VALUE"""),"PADILLA")</f>
        <v>PADILLA</v>
      </c>
      <c r="C11" s="20" t="str">
        <f>IFERROR(__xludf.DUMMYFUNCTION("""COMPUTED_VALUE"""),"ATHLETIC CLUB")</f>
        <v>ATHLETIC CLUB</v>
      </c>
      <c r="D11" s="20">
        <f>IFERROR(__xludf.DUMMYFUNCTION("""COMPUTED_VALUE"""),1.0)</f>
        <v>1</v>
      </c>
    </row>
    <row r="12">
      <c r="A12" s="20">
        <f>IFERROR(__xludf.DUMMYFUNCTION("""COMPUTED_VALUE"""),23.0)</f>
        <v>23</v>
      </c>
      <c r="B12" s="20" t="str">
        <f>IFERROR(__xludf.DUMMYFUNCTION("""COMPUTED_VALUE"""),"VIVIAN")</f>
        <v>VIVIAN</v>
      </c>
      <c r="C12" s="20" t="str">
        <f>IFERROR(__xludf.DUMMYFUNCTION("""COMPUTED_VALUE"""),"ATHLETIC CLUB")</f>
        <v>ATHLETIC CLUB</v>
      </c>
      <c r="D12" s="20">
        <f>IFERROR(__xludf.DUMMYFUNCTION("""COMPUTED_VALUE"""),1.0)</f>
        <v>1</v>
      </c>
    </row>
    <row r="13">
      <c r="A13" s="20">
        <f>IFERROR(__xludf.DUMMYFUNCTION("""COMPUTED_VALUE"""),27.0)</f>
        <v>27</v>
      </c>
      <c r="B13" s="20" t="str">
        <f>IFERROR(__xludf.DUMMYFUNCTION("""COMPUTED_VALUE"""),"RUIZ DE GALARRETA")</f>
        <v>RUIZ DE GALARRETA</v>
      </c>
      <c r="C13" s="20" t="str">
        <f>IFERROR(__xludf.DUMMYFUNCTION("""COMPUTED_VALUE"""),"ATHLETIC CLUB")</f>
        <v>ATHLETIC CLUB</v>
      </c>
      <c r="D13" s="20">
        <f>IFERROR(__xludf.DUMMYFUNCTION("""COMPUTED_VALUE"""),1.0)</f>
        <v>1</v>
      </c>
    </row>
    <row r="14">
      <c r="A14" s="20">
        <f>IFERROR(__xludf.DUMMYFUNCTION("""COMPUTED_VALUE"""),33.0)</f>
        <v>33</v>
      </c>
      <c r="B14" s="20" t="str">
        <f>IFERROR(__xludf.DUMMYFUNCTION("""COMPUTED_VALUE"""),"WILLIAMS")</f>
        <v>WILLIAMS</v>
      </c>
      <c r="C14" s="20" t="str">
        <f>IFERROR(__xludf.DUMMYFUNCTION("""COMPUTED_VALUE"""),"ATHLETIC CLUB")</f>
        <v>ATHLETIC CLUB</v>
      </c>
      <c r="D14" s="20">
        <f>IFERROR(__xludf.DUMMYFUNCTION("""COMPUTED_VALUE"""),1.0)</f>
        <v>1</v>
      </c>
    </row>
    <row r="15">
      <c r="A15" s="20">
        <f>IFERROR(__xludf.DUMMYFUNCTION("""COMPUTED_VALUE"""),34.0)</f>
        <v>34</v>
      </c>
      <c r="B15" s="20" t="str">
        <f>IFERROR(__xludf.DUMMYFUNCTION("""COMPUTED_VALUE"""),"MAROAN")</f>
        <v>MAROAN</v>
      </c>
      <c r="C15" s="20" t="str">
        <f>IFERROR(__xludf.DUMMYFUNCTION("""COMPUTED_VALUE"""),"ATHLETIC CLUB")</f>
        <v>ATHLETIC CLUB</v>
      </c>
      <c r="D15" s="20">
        <f>IFERROR(__xludf.DUMMYFUNCTION("""COMPUTED_VALUE"""),1.0)</f>
        <v>1</v>
      </c>
    </row>
    <row r="16">
      <c r="A16" s="20">
        <f>IFERROR(__xludf.DUMMYFUNCTION("""COMPUTED_VALUE"""),37.0)</f>
        <v>37</v>
      </c>
      <c r="B16" s="20" t="str">
        <f>IFERROR(__xludf.DUMMYFUNCTION("""COMPUTED_VALUE"""),"ESTADIO")</f>
        <v>ESTADIO</v>
      </c>
      <c r="C16" s="20" t="str">
        <f>IFERROR(__xludf.DUMMYFUNCTION("""COMPUTED_VALUE"""),"ATLÉTICO DE MADRID")</f>
        <v>ATLÉTICO DE MADRID</v>
      </c>
      <c r="D16" s="20">
        <f>IFERROR(__xludf.DUMMYFUNCTION("""COMPUTED_VALUE"""),1.0)</f>
        <v>1</v>
      </c>
    </row>
    <row r="17">
      <c r="A17" s="20">
        <f>IFERROR(__xludf.DUMMYFUNCTION("""COMPUTED_VALUE"""),39.0)</f>
        <v>39</v>
      </c>
      <c r="B17" s="20" t="str">
        <f>IFERROR(__xludf.DUMMYFUNCTION("""COMPUTED_VALUE"""),"MUSSO")</f>
        <v>MUSSO</v>
      </c>
      <c r="C17" s="20" t="str">
        <f>IFERROR(__xludf.DUMMYFUNCTION("""COMPUTED_VALUE"""),"ATLÉTICO DE MADRID")</f>
        <v>ATLÉTICO DE MADRID</v>
      </c>
      <c r="D17" s="20">
        <f>IFERROR(__xludf.DUMMYFUNCTION("""COMPUTED_VALUE"""),1.0)</f>
        <v>1</v>
      </c>
    </row>
    <row r="18">
      <c r="A18" s="20">
        <f>IFERROR(__xludf.DUMMYFUNCTION("""COMPUTED_VALUE"""),40.0)</f>
        <v>40</v>
      </c>
      <c r="B18" s="20" t="str">
        <f>IFERROR(__xludf.DUMMYFUNCTION("""COMPUTED_VALUE"""),"MARCOS LLORENTE")</f>
        <v>MARCOS LLORENTE</v>
      </c>
      <c r="C18" s="20" t="str">
        <f>IFERROR(__xludf.DUMMYFUNCTION("""COMPUTED_VALUE"""),"ATLÉTICO DE MADRID")</f>
        <v>ATLÉTICO DE MADRID</v>
      </c>
      <c r="D18" s="20">
        <f>IFERROR(__xludf.DUMMYFUNCTION("""COMPUTED_VALUE"""),1.0)</f>
        <v>1</v>
      </c>
    </row>
    <row r="19">
      <c r="A19" s="20">
        <f>IFERROR(__xludf.DUMMYFUNCTION("""COMPUTED_VALUE"""),42.0)</f>
        <v>42</v>
      </c>
      <c r="B19" s="20" t="str">
        <f>IFERROR(__xludf.DUMMYFUNCTION("""COMPUTED_VALUE"""),"LENGLET")</f>
        <v>LENGLET</v>
      </c>
      <c r="C19" s="20" t="str">
        <f>IFERROR(__xludf.DUMMYFUNCTION("""COMPUTED_VALUE"""),"ATLÉTICO DE MADRID")</f>
        <v>ATLÉTICO DE MADRID</v>
      </c>
      <c r="D19" s="20">
        <f>IFERROR(__xludf.DUMMYFUNCTION("""COMPUTED_VALUE"""),1.0)</f>
        <v>1</v>
      </c>
    </row>
    <row r="20">
      <c r="A20" s="20">
        <f>IFERROR(__xludf.DUMMYFUNCTION("""COMPUTED_VALUE"""),49.0)</f>
        <v>49</v>
      </c>
      <c r="B20" s="20" t="str">
        <f>IFERROR(__xludf.DUMMYFUNCTION("""COMPUTED_VALUE"""),"ALMADA")</f>
        <v>ALMADA</v>
      </c>
      <c r="C20" s="20" t="str">
        <f>IFERROR(__xludf.DUMMYFUNCTION("""COMPUTED_VALUE"""),"ATLÉTICO DE MADRID")</f>
        <v>ATLÉTICO DE MADRID</v>
      </c>
      <c r="D20" s="20">
        <f>IFERROR(__xludf.DUMMYFUNCTION("""COMPUTED_VALUE"""),1.0)</f>
        <v>1</v>
      </c>
    </row>
    <row r="21">
      <c r="A21" s="20">
        <f>IFERROR(__xludf.DUMMYFUNCTION("""COMPUTED_VALUE"""),52.0)</f>
        <v>52</v>
      </c>
      <c r="B21" s="20" t="str">
        <f>IFERROR(__xludf.DUMMYFUNCTION("""COMPUTED_VALUE"""),"JULIÁN ALVAREZ")</f>
        <v>JULIÁN ALVAREZ</v>
      </c>
      <c r="C21" s="20" t="str">
        <f>IFERROR(__xludf.DUMMYFUNCTION("""COMPUTED_VALUE"""),"ATLÉTICO DE MADRID")</f>
        <v>ATLÉTICO DE MADRID</v>
      </c>
      <c r="D21" s="20">
        <f>IFERROR(__xludf.DUMMYFUNCTION("""COMPUTED_VALUE"""),1.0)</f>
        <v>1</v>
      </c>
    </row>
    <row r="22">
      <c r="A22" s="20">
        <f>IFERROR(__xludf.DUMMYFUNCTION("""COMPUTED_VALUE"""),55.0)</f>
        <v>55</v>
      </c>
      <c r="B22" s="20" t="str">
        <f>IFERROR(__xludf.DUMMYFUNCTION("""COMPUTED_VALUE"""),"ESCUDO")</f>
        <v>ESCUDO</v>
      </c>
      <c r="C22" s="20" t="str">
        <f>IFERROR(__xludf.DUMMYFUNCTION("""COMPUTED_VALUE"""),"FC BARCELONA")</f>
        <v>FC BARCELONA</v>
      </c>
      <c r="D22" s="20">
        <f>IFERROR(__xludf.DUMMYFUNCTION("""COMPUTED_VALUE"""),1.0)</f>
        <v>1</v>
      </c>
    </row>
    <row r="23">
      <c r="A23" s="20">
        <f>IFERROR(__xludf.DUMMYFUNCTION("""COMPUTED_VALUE"""),56.0)</f>
        <v>56</v>
      </c>
      <c r="B23" s="20" t="str">
        <f>IFERROR(__xludf.DUMMYFUNCTION("""COMPUTED_VALUE"""),"JOAN GARCÍA")</f>
        <v>JOAN GARCÍA</v>
      </c>
      <c r="C23" s="20" t="str">
        <f>IFERROR(__xludf.DUMMYFUNCTION("""COMPUTED_VALUE"""),"FC BARCELONA")</f>
        <v>FC BARCELONA</v>
      </c>
      <c r="D23" s="20">
        <f>IFERROR(__xludf.DUMMYFUNCTION("""COMPUTED_VALUE"""),1.0)</f>
        <v>1</v>
      </c>
    </row>
    <row r="24">
      <c r="A24" s="20">
        <f>IFERROR(__xludf.DUMMYFUNCTION("""COMPUTED_VALUE"""),61.0)</f>
        <v>61</v>
      </c>
      <c r="B24" s="20" t="str">
        <f>IFERROR(__xludf.DUMMYFUNCTION("""COMPUTED_VALUE"""),"ARAÚJO")</f>
        <v>ARAÚJO</v>
      </c>
      <c r="C24" s="20" t="str">
        <f>IFERROR(__xludf.DUMMYFUNCTION("""COMPUTED_VALUE"""),"FC BARCELONA")</f>
        <v>FC BARCELONA</v>
      </c>
      <c r="D24" s="20">
        <f>IFERROR(__xludf.DUMMYFUNCTION("""COMPUTED_VALUE"""),1.0)</f>
        <v>1</v>
      </c>
    </row>
    <row r="25">
      <c r="A25" s="20">
        <f>IFERROR(__xludf.DUMMYFUNCTION("""COMPUTED_VALUE"""),62.0)</f>
        <v>62</v>
      </c>
      <c r="B25" s="20" t="str">
        <f>IFERROR(__xludf.DUMMYFUNCTION("""COMPUTED_VALUE"""),"BALDE")</f>
        <v>BALDE</v>
      </c>
      <c r="C25" s="20" t="str">
        <f>IFERROR(__xludf.DUMMYFUNCTION("""COMPUTED_VALUE"""),"FC BARCELONA")</f>
        <v>FC BARCELONA</v>
      </c>
      <c r="D25" s="20">
        <f>IFERROR(__xludf.DUMMYFUNCTION("""COMPUTED_VALUE"""),1.0)</f>
        <v>1</v>
      </c>
    </row>
    <row r="26">
      <c r="A26" s="20">
        <f>IFERROR(__xludf.DUMMYFUNCTION("""COMPUTED_VALUE"""),63.0)</f>
        <v>63</v>
      </c>
      <c r="B26" s="20" t="str">
        <f>IFERROR(__xludf.DUMMYFUNCTION("""COMPUTED_VALUE"""),"DE JONG")</f>
        <v>DE JONG</v>
      </c>
      <c r="C26" s="20" t="str">
        <f>IFERROR(__xludf.DUMMYFUNCTION("""COMPUTED_VALUE"""),"FC BARCELONA")</f>
        <v>FC BARCELONA</v>
      </c>
      <c r="D26" s="20">
        <f>IFERROR(__xludf.DUMMYFUNCTION("""COMPUTED_VALUE"""),1.0)</f>
        <v>1</v>
      </c>
    </row>
    <row r="27">
      <c r="A27" s="20">
        <f>IFERROR(__xludf.DUMMYFUNCTION("""COMPUTED_VALUE"""),66.0)</f>
        <v>66</v>
      </c>
      <c r="B27" s="20" t="str">
        <f>IFERROR(__xludf.DUMMYFUNCTION("""COMPUTED_VALUE"""),"FERMÍN")</f>
        <v>FERMÍN</v>
      </c>
      <c r="C27" s="20" t="str">
        <f>IFERROR(__xludf.DUMMYFUNCTION("""COMPUTED_VALUE"""),"FC BARCELONA")</f>
        <v>FC BARCELONA</v>
      </c>
      <c r="D27" s="20">
        <f>IFERROR(__xludf.DUMMYFUNCTION("""COMPUTED_VALUE"""),1.0)</f>
        <v>1</v>
      </c>
    </row>
    <row r="28">
      <c r="A28" s="20">
        <f>IFERROR(__xludf.DUMMYFUNCTION("""COMPUTED_VALUE"""),67.0)</f>
        <v>67</v>
      </c>
      <c r="B28" s="20" t="str">
        <f>IFERROR(__xludf.DUMMYFUNCTION("""COMPUTED_VALUE"""),"DANI OLMO")</f>
        <v>DANI OLMO</v>
      </c>
      <c r="C28" s="20" t="str">
        <f>IFERROR(__xludf.DUMMYFUNCTION("""COMPUTED_VALUE"""),"FC BARCELONA")</f>
        <v>FC BARCELONA</v>
      </c>
      <c r="D28" s="20">
        <f>IFERROR(__xludf.DUMMYFUNCTION("""COMPUTED_VALUE"""),1.0)</f>
        <v>1</v>
      </c>
    </row>
    <row r="29">
      <c r="A29" s="20">
        <f>IFERROR(__xludf.DUMMYFUNCTION("""COMPUTED_VALUE"""),73.0)</f>
        <v>73</v>
      </c>
      <c r="B29" s="20" t="str">
        <f>IFERROR(__xludf.DUMMYFUNCTION("""COMPUTED_VALUE"""),"ESTADIO")</f>
        <v>ESTADIO</v>
      </c>
      <c r="C29" s="20" t="str">
        <f>IFERROR(__xludf.DUMMYFUNCTION("""COMPUTED_VALUE"""),"REAL BETIS")</f>
        <v>REAL BETIS</v>
      </c>
      <c r="D29" s="20">
        <f>IFERROR(__xludf.DUMMYFUNCTION("""COMPUTED_VALUE"""),1.0)</f>
        <v>1</v>
      </c>
    </row>
    <row r="30">
      <c r="A30" s="20">
        <f>IFERROR(__xludf.DUMMYFUNCTION("""COMPUTED_VALUE"""),74.0)</f>
        <v>74</v>
      </c>
      <c r="B30" s="20" t="str">
        <f>IFERROR(__xludf.DUMMYFUNCTION("""COMPUTED_VALUE"""),"PAU LÓPEZ")</f>
        <v>PAU LÓPEZ</v>
      </c>
      <c r="C30" s="20" t="str">
        <f>IFERROR(__xludf.DUMMYFUNCTION("""COMPUTED_VALUE"""),"REAL BETIS")</f>
        <v>REAL BETIS</v>
      </c>
      <c r="D30" s="20">
        <f>IFERROR(__xludf.DUMMYFUNCTION("""COMPUTED_VALUE"""),2.0)</f>
        <v>2</v>
      </c>
    </row>
    <row r="31">
      <c r="A31" s="20">
        <f>IFERROR(__xludf.DUMMYFUNCTION("""COMPUTED_VALUE"""),76.0)</f>
        <v>76</v>
      </c>
      <c r="B31" s="20" t="str">
        <f>IFERROR(__xludf.DUMMYFUNCTION("""COMPUTED_VALUE"""),"BELLERÍN")</f>
        <v>BELLERÍN</v>
      </c>
      <c r="C31" s="20" t="str">
        <f>IFERROR(__xludf.DUMMYFUNCTION("""COMPUTED_VALUE"""),"REAL BETIS")</f>
        <v>REAL BETIS</v>
      </c>
      <c r="D31" s="20">
        <f>IFERROR(__xludf.DUMMYFUNCTION("""COMPUTED_VALUE"""),1.0)</f>
        <v>1</v>
      </c>
    </row>
    <row r="32">
      <c r="A32" s="20">
        <f>IFERROR(__xludf.DUMMYFUNCTION("""COMPUTED_VALUE"""),81.0)</f>
        <v>81</v>
      </c>
      <c r="B32" s="20" t="str">
        <f>IFERROR(__xludf.DUMMYFUNCTION("""COMPUTED_VALUE"""),"JUNIOR")</f>
        <v>JUNIOR</v>
      </c>
      <c r="C32" s="20" t="str">
        <f>IFERROR(__xludf.DUMMYFUNCTION("""COMPUTED_VALUE"""),"REAL BETIS")</f>
        <v>REAL BETIS</v>
      </c>
      <c r="D32" s="20">
        <f>IFERROR(__xludf.DUMMYFUNCTION("""COMPUTED_VALUE"""),1.0)</f>
        <v>1</v>
      </c>
    </row>
    <row r="33">
      <c r="A33" s="20">
        <f>IFERROR(__xludf.DUMMYFUNCTION("""COMPUTED_VALUE"""),84.0)</f>
        <v>84</v>
      </c>
      <c r="B33" s="20" t="str">
        <f>IFERROR(__xludf.DUMMYFUNCTION("""COMPUTED_VALUE"""),"PABLO FORNALS")</f>
        <v>PABLO FORNALS</v>
      </c>
      <c r="C33" s="20" t="str">
        <f>IFERROR(__xludf.DUMMYFUNCTION("""COMPUTED_VALUE"""),"REAL BETIS")</f>
        <v>REAL BETIS</v>
      </c>
      <c r="D33" s="20">
        <f>IFERROR(__xludf.DUMMYFUNCTION("""COMPUTED_VALUE"""),1.0)</f>
        <v>1</v>
      </c>
    </row>
    <row r="34">
      <c r="A34" s="20">
        <f>IFERROR(__xludf.DUMMYFUNCTION("""COMPUTED_VALUE"""),88.0)</f>
        <v>88</v>
      </c>
      <c r="B34" s="20" t="str">
        <f>IFERROR(__xludf.DUMMYFUNCTION("""COMPUTED_VALUE"""),"CUCHO HERNÁNDEZ")</f>
        <v>CUCHO HERNÁNDEZ</v>
      </c>
      <c r="C34" s="20" t="str">
        <f>IFERROR(__xludf.DUMMYFUNCTION("""COMPUTED_VALUE"""),"REAL BETIS")</f>
        <v>REAL BETIS</v>
      </c>
      <c r="D34" s="20">
        <f>IFERROR(__xludf.DUMMYFUNCTION("""COMPUTED_VALUE"""),1.0)</f>
        <v>1</v>
      </c>
    </row>
    <row r="35">
      <c r="A35" s="20">
        <f>IFERROR(__xludf.DUMMYFUNCTION("""COMPUTED_VALUE"""),91.0)</f>
        <v>91</v>
      </c>
      <c r="B35" s="20" t="str">
        <f>IFERROR(__xludf.DUMMYFUNCTION("""COMPUTED_VALUE"""),"ESCUDO")</f>
        <v>ESCUDO</v>
      </c>
      <c r="C35" s="20" t="str">
        <f>IFERROR(__xludf.DUMMYFUNCTION("""COMPUTED_VALUE"""),"RC CELTA")</f>
        <v>RC CELTA</v>
      </c>
      <c r="D35" s="20">
        <f>IFERROR(__xludf.DUMMYFUNCTION("""COMPUTED_VALUE"""),1.0)</f>
        <v>1</v>
      </c>
    </row>
    <row r="36">
      <c r="A36" s="20">
        <f>IFERROR(__xludf.DUMMYFUNCTION("""COMPUTED_VALUE"""),94.0)</f>
        <v>94</v>
      </c>
      <c r="B36" s="20" t="str">
        <f>IFERROR(__xludf.DUMMYFUNCTION("""COMPUTED_VALUE"""),"JAVI RUEDA")</f>
        <v>JAVI RUEDA</v>
      </c>
      <c r="C36" s="20" t="str">
        <f>IFERROR(__xludf.DUMMYFUNCTION("""COMPUTED_VALUE"""),"RC CELTA")</f>
        <v>RC CELTA</v>
      </c>
      <c r="D36" s="20">
        <f>IFERROR(__xludf.DUMMYFUNCTION("""COMPUTED_VALUE"""),1.0)</f>
        <v>1</v>
      </c>
    </row>
    <row r="37">
      <c r="A37" s="20">
        <f>IFERROR(__xludf.DUMMYFUNCTION("""COMPUTED_VALUE"""),97.0)</f>
        <v>97</v>
      </c>
      <c r="B37" s="20" t="str">
        <f>IFERROR(__xludf.DUMMYFUNCTION("""COMPUTED_VALUE"""),"MARCOS ALONSO")</f>
        <v>MARCOS ALONSO</v>
      </c>
      <c r="C37" s="20" t="str">
        <f>IFERROR(__xludf.DUMMYFUNCTION("""COMPUTED_VALUE"""),"RC CELTA")</f>
        <v>RC CELTA</v>
      </c>
      <c r="D37" s="20">
        <f>IFERROR(__xludf.DUMMYFUNCTION("""COMPUTED_VALUE"""),1.0)</f>
        <v>1</v>
      </c>
    </row>
    <row r="38">
      <c r="A38" s="20">
        <f>IFERROR(__xludf.DUMMYFUNCTION("""COMPUTED_VALUE"""),100.0)</f>
        <v>100</v>
      </c>
      <c r="B38" s="20" t="str">
        <f>IFERROR(__xludf.DUMMYFUNCTION("""COMPUTED_VALUE"""),"ILAIX MORIBA")</f>
        <v>ILAIX MORIBA</v>
      </c>
      <c r="C38" s="20" t="str">
        <f>IFERROR(__xludf.DUMMYFUNCTION("""COMPUTED_VALUE"""),"RC CELTA")</f>
        <v>RC CELTA</v>
      </c>
      <c r="D38" s="20">
        <f>IFERROR(__xludf.DUMMYFUNCTION("""COMPUTED_VALUE"""),1.0)</f>
        <v>1</v>
      </c>
    </row>
    <row r="39">
      <c r="A39" s="20">
        <f>IFERROR(__xludf.DUMMYFUNCTION("""COMPUTED_VALUE"""),103.0)</f>
        <v>103</v>
      </c>
      <c r="B39" s="20" t="str">
        <f>IFERROR(__xludf.DUMMYFUNCTION("""COMPUTED_VALUE"""),"HUGO ÁLVAREZ")</f>
        <v>HUGO ÁLVAREZ</v>
      </c>
      <c r="C39" s="20" t="str">
        <f>IFERROR(__xludf.DUMMYFUNCTION("""COMPUTED_VALUE"""),"RC CELTA")</f>
        <v>RC CELTA</v>
      </c>
      <c r="D39" s="20">
        <f>IFERROR(__xludf.DUMMYFUNCTION("""COMPUTED_VALUE"""),2.0)</f>
        <v>2</v>
      </c>
    </row>
    <row r="40">
      <c r="A40" s="20">
        <f>IFERROR(__xludf.DUMMYFUNCTION("""COMPUTED_VALUE"""),104.0)</f>
        <v>104</v>
      </c>
      <c r="B40" s="20" t="str">
        <f>IFERROR(__xludf.DUMMYFUNCTION("""COMPUTED_VALUE"""),"SWEDBERG")</f>
        <v>SWEDBERG</v>
      </c>
      <c r="C40" s="20" t="str">
        <f>IFERROR(__xludf.DUMMYFUNCTION("""COMPUTED_VALUE"""),"RC CELTA")</f>
        <v>RC CELTA</v>
      </c>
      <c r="D40" s="20">
        <f>IFERROR(__xludf.DUMMYFUNCTION("""COMPUTED_VALUE"""),2.0)</f>
        <v>2</v>
      </c>
    </row>
    <row r="41">
      <c r="A41" s="20">
        <f>IFERROR(__xludf.DUMMYFUNCTION("""COMPUTED_VALUE"""),105.0)</f>
        <v>105</v>
      </c>
      <c r="B41" s="20" t="str">
        <f>IFERROR(__xludf.DUMMYFUNCTION("""COMPUTED_VALUE"""),"BRYAN ZARAGOZA")</f>
        <v>BRYAN ZARAGOZA</v>
      </c>
      <c r="C41" s="20" t="str">
        <f>IFERROR(__xludf.DUMMYFUNCTION("""COMPUTED_VALUE"""),"RC CELTA")</f>
        <v>RC CELTA</v>
      </c>
      <c r="D41" s="20">
        <f>IFERROR(__xludf.DUMMYFUNCTION("""COMPUTED_VALUE"""),1.0)</f>
        <v>1</v>
      </c>
    </row>
    <row r="42">
      <c r="A42" s="20">
        <f>IFERROR(__xludf.DUMMYFUNCTION("""COMPUTED_VALUE"""),106.0)</f>
        <v>106</v>
      </c>
      <c r="B42" s="20" t="str">
        <f>IFERROR(__xludf.DUMMYFUNCTION("""COMPUTED_VALUE"""),"IAGO ASPAS")</f>
        <v>IAGO ASPAS</v>
      </c>
      <c r="C42" s="20" t="str">
        <f>IFERROR(__xludf.DUMMYFUNCTION("""COMPUTED_VALUE"""),"RC CELTA")</f>
        <v>RC CELTA</v>
      </c>
      <c r="D42" s="20">
        <f>IFERROR(__xludf.DUMMYFUNCTION("""COMPUTED_VALUE"""),2.0)</f>
        <v>2</v>
      </c>
    </row>
    <row r="43">
      <c r="A43" s="20">
        <f>IFERROR(__xludf.DUMMYFUNCTION("""COMPUTED_VALUE"""),107.0)</f>
        <v>107</v>
      </c>
      <c r="B43" s="20" t="str">
        <f>IFERROR(__xludf.DUMMYFUNCTION("""COMPUTED_VALUE"""),"BORJA IGLESIAS")</f>
        <v>BORJA IGLESIAS</v>
      </c>
      <c r="C43" s="20" t="str">
        <f>IFERROR(__xludf.DUMMYFUNCTION("""COMPUTED_VALUE"""),"RC CELTA")</f>
        <v>RC CELTA</v>
      </c>
      <c r="D43" s="20">
        <f>IFERROR(__xludf.DUMMYFUNCTION("""COMPUTED_VALUE"""),1.0)</f>
        <v>1</v>
      </c>
    </row>
    <row r="44">
      <c r="A44" s="20">
        <f>IFERROR(__xludf.DUMMYFUNCTION("""COMPUTED_VALUE"""),108.0)</f>
        <v>108</v>
      </c>
      <c r="B44" s="20" t="str">
        <f>IFERROR(__xludf.DUMMYFUNCTION("""COMPUTED_VALUE"""),"JUTGLÀ")</f>
        <v>JUTGLÀ</v>
      </c>
      <c r="C44" s="20" t="str">
        <f>IFERROR(__xludf.DUMMYFUNCTION("""COMPUTED_VALUE"""),"RC CELTA")</f>
        <v>RC CELTA</v>
      </c>
      <c r="D44" s="20">
        <f>IFERROR(__xludf.DUMMYFUNCTION("""COMPUTED_VALUE"""),1.0)</f>
        <v>1</v>
      </c>
    </row>
    <row r="45">
      <c r="A45" s="20">
        <f>IFERROR(__xludf.DUMMYFUNCTION("""COMPUTED_VALUE"""),110.0)</f>
        <v>110</v>
      </c>
      <c r="B45" s="20" t="str">
        <f>IFERROR(__xludf.DUMMYFUNCTION("""COMPUTED_VALUE"""),"IÑAKI PEÑA")</f>
        <v>IÑAKI PEÑA</v>
      </c>
      <c r="C45" s="20" t="str">
        <f>IFERROR(__xludf.DUMMYFUNCTION("""COMPUTED_VALUE"""),"ELCHE CF")</f>
        <v>ELCHE CF</v>
      </c>
      <c r="D45" s="20">
        <f>IFERROR(__xludf.DUMMYFUNCTION("""COMPUTED_VALUE"""),1.0)</f>
        <v>1</v>
      </c>
    </row>
    <row r="46">
      <c r="A46" s="20">
        <f>IFERROR(__xludf.DUMMYFUNCTION("""COMPUTED_VALUE"""),111.0)</f>
        <v>111</v>
      </c>
      <c r="B46" s="20" t="str">
        <f>IFERROR(__xludf.DUMMYFUNCTION("""COMPUTED_VALUE"""),"DITURO")</f>
        <v>DITURO</v>
      </c>
      <c r="C46" s="20" t="str">
        <f>IFERROR(__xludf.DUMMYFUNCTION("""COMPUTED_VALUE"""),"ELCHE CF")</f>
        <v>ELCHE CF</v>
      </c>
      <c r="D46" s="20">
        <f>IFERROR(__xludf.DUMMYFUNCTION("""COMPUTED_VALUE"""),2.0)</f>
        <v>2</v>
      </c>
    </row>
    <row r="47">
      <c r="A47" s="20">
        <f>IFERROR(__xludf.DUMMYFUNCTION("""COMPUTED_VALUE"""),112.0)</f>
        <v>112</v>
      </c>
      <c r="B47" s="20" t="str">
        <f>IFERROR(__xludf.DUMMYFUNCTION("""COMPUTED_VALUE"""),"ÁLVARO NÚÑEZ")</f>
        <v>ÁLVARO NÚÑEZ</v>
      </c>
      <c r="C47" s="20" t="str">
        <f>IFERROR(__xludf.DUMMYFUNCTION("""COMPUTED_VALUE"""),"ELCHE CF")</f>
        <v>ELCHE CF</v>
      </c>
      <c r="D47" s="20">
        <f>IFERROR(__xludf.DUMMYFUNCTION("""COMPUTED_VALUE"""),1.0)</f>
        <v>1</v>
      </c>
    </row>
    <row r="48">
      <c r="A48" s="20">
        <f>IFERROR(__xludf.DUMMYFUNCTION("""COMPUTED_VALUE"""),115.0)</f>
        <v>115</v>
      </c>
      <c r="B48" s="20" t="str">
        <f>IFERROR(__xludf.DUMMYFUNCTION("""COMPUTED_VALUE"""),"AFFENGRUBER")</f>
        <v>AFFENGRUBER</v>
      </c>
      <c r="C48" s="20" t="str">
        <f>IFERROR(__xludf.DUMMYFUNCTION("""COMPUTED_VALUE"""),"ELCHE CF")</f>
        <v>ELCHE CF</v>
      </c>
      <c r="D48" s="20">
        <f>IFERROR(__xludf.DUMMYFUNCTION("""COMPUTED_VALUE"""),1.0)</f>
        <v>1</v>
      </c>
    </row>
    <row r="49">
      <c r="A49" s="20">
        <f>IFERROR(__xludf.DUMMYFUNCTION("""COMPUTED_VALUE"""),121.0)</f>
        <v>121</v>
      </c>
      <c r="B49" s="20" t="str">
        <f>IFERROR(__xludf.DUMMYFUNCTION("""COMPUTED_VALUE"""),"MARC AGUADO")</f>
        <v>MARC AGUADO</v>
      </c>
      <c r="C49" s="20" t="str">
        <f>IFERROR(__xludf.DUMMYFUNCTION("""COMPUTED_VALUE"""),"ELCHE CF")</f>
        <v>ELCHE CF</v>
      </c>
      <c r="D49" s="20">
        <f>IFERROR(__xludf.DUMMYFUNCTION("""COMPUTED_VALUE"""),2.0)</f>
        <v>2</v>
      </c>
    </row>
    <row r="50">
      <c r="A50" s="20">
        <f>IFERROR(__xludf.DUMMYFUNCTION("""COMPUTED_VALUE"""),126.0)</f>
        <v>126</v>
      </c>
      <c r="B50" s="20" t="str">
        <f>IFERROR(__xludf.DUMMYFUNCTION("""COMPUTED_VALUE"""),"RAFA MIR")</f>
        <v>RAFA MIR</v>
      </c>
      <c r="C50" s="20" t="str">
        <f>IFERROR(__xludf.DUMMYFUNCTION("""COMPUTED_VALUE"""),"ELCHE CF")</f>
        <v>ELCHE CF</v>
      </c>
      <c r="D50" s="20">
        <f>IFERROR(__xludf.DUMMYFUNCTION("""COMPUTED_VALUE"""),1.0)</f>
        <v>1</v>
      </c>
    </row>
    <row r="51">
      <c r="A51" s="20">
        <f>IFERROR(__xludf.DUMMYFUNCTION("""COMPUTED_VALUE"""),127.0)</f>
        <v>127</v>
      </c>
      <c r="B51" s="20" t="str">
        <f>IFERROR(__xludf.DUMMYFUNCTION("""COMPUTED_VALUE"""),"ESCUDO")</f>
        <v>ESCUDO</v>
      </c>
      <c r="C51" s="20" t="str">
        <f>IFERROR(__xludf.DUMMYFUNCTION("""COMPUTED_VALUE"""),"RCD ESPANYOL")</f>
        <v>RCD ESPANYOL</v>
      </c>
      <c r="D51" s="20">
        <f>IFERROR(__xludf.DUMMYFUNCTION("""COMPUTED_VALUE"""),1.0)</f>
        <v>1</v>
      </c>
    </row>
    <row r="52">
      <c r="A52" s="20">
        <f>IFERROR(__xludf.DUMMYFUNCTION("""COMPUTED_VALUE"""),128.0)</f>
        <v>128</v>
      </c>
      <c r="B52" s="20" t="str">
        <f>IFERROR(__xludf.DUMMYFUNCTION("""COMPUTED_VALUE"""),"DMITROVIC")</f>
        <v>DMITROVIC</v>
      </c>
      <c r="C52" s="20" t="str">
        <f>IFERROR(__xludf.DUMMYFUNCTION("""COMPUTED_VALUE"""),"RCD ESPANYOL")</f>
        <v>RCD ESPANYOL</v>
      </c>
      <c r="D52" s="20">
        <f>IFERROR(__xludf.DUMMYFUNCTION("""COMPUTED_VALUE"""),1.0)</f>
        <v>1</v>
      </c>
    </row>
    <row r="53">
      <c r="A53" s="20">
        <f>IFERROR(__xludf.DUMMYFUNCTION("""COMPUTED_VALUE"""),134.0)</f>
        <v>134</v>
      </c>
      <c r="B53" s="20" t="str">
        <f>IFERROR(__xludf.DUMMYFUNCTION("""COMPUTED_VALUE"""),"CARLOS ROMERO")</f>
        <v>CARLOS ROMERO</v>
      </c>
      <c r="C53" s="20" t="str">
        <f>IFERROR(__xludf.DUMMYFUNCTION("""COMPUTED_VALUE"""),"RCD ESPANYOL")</f>
        <v>RCD ESPANYOL</v>
      </c>
      <c r="D53" s="20">
        <f>IFERROR(__xludf.DUMMYFUNCTION("""COMPUTED_VALUE"""),1.0)</f>
        <v>1</v>
      </c>
    </row>
    <row r="54">
      <c r="A54" s="20">
        <f>IFERROR(__xludf.DUMMYFUNCTION("""COMPUTED_VALUE"""),137.0)</f>
        <v>137</v>
      </c>
      <c r="B54" s="20" t="str">
        <f>IFERROR(__xludf.DUMMYFUNCTION("""COMPUTED_VALUE"""),"EDU EXPÓSITO")</f>
        <v>EDU EXPÓSITO</v>
      </c>
      <c r="C54" s="20" t="str">
        <f>IFERROR(__xludf.DUMMYFUNCTION("""COMPUTED_VALUE"""),"RCD ESPANYOL")</f>
        <v>RCD ESPANYOL</v>
      </c>
      <c r="D54" s="20">
        <f>IFERROR(__xludf.DUMMYFUNCTION("""COMPUTED_VALUE"""),1.0)</f>
        <v>1</v>
      </c>
    </row>
    <row r="55">
      <c r="A55" s="20">
        <f>IFERROR(__xludf.DUMMYFUNCTION("""COMPUTED_VALUE"""),138.0)</f>
        <v>138</v>
      </c>
      <c r="B55" s="20" t="str">
        <f>IFERROR(__xludf.DUMMYFUNCTION("""COMPUTED_VALUE"""),"TERRATS")</f>
        <v>TERRATS</v>
      </c>
      <c r="C55" s="20" t="str">
        <f>IFERROR(__xludf.DUMMYFUNCTION("""COMPUTED_VALUE"""),"RCD ESPANYOL")</f>
        <v>RCD ESPANYOL</v>
      </c>
      <c r="D55" s="20">
        <f>IFERROR(__xludf.DUMMYFUNCTION("""COMPUTED_VALUE"""),2.0)</f>
        <v>2</v>
      </c>
    </row>
    <row r="56">
      <c r="A56" s="20">
        <f>IFERROR(__xludf.DUMMYFUNCTION("""COMPUTED_VALUE"""),139.0)</f>
        <v>139</v>
      </c>
      <c r="B56" s="20" t="str">
        <f>IFERROR(__xludf.DUMMYFUNCTION("""COMPUTED_VALUE"""),"ANTONIU ROCA")</f>
        <v>ANTONIU ROCA</v>
      </c>
      <c r="C56" s="20" t="str">
        <f>IFERROR(__xludf.DUMMYFUNCTION("""COMPUTED_VALUE"""),"RCD ESPANYOL")</f>
        <v>RCD ESPANYOL</v>
      </c>
      <c r="D56" s="20">
        <f>IFERROR(__xludf.DUMMYFUNCTION("""COMPUTED_VALUE"""),1.0)</f>
        <v>1</v>
      </c>
    </row>
    <row r="57">
      <c r="A57" s="20">
        <f>IFERROR(__xludf.DUMMYFUNCTION("""COMPUTED_VALUE"""),140.0)</f>
        <v>140</v>
      </c>
      <c r="B57" s="20" t="str">
        <f>IFERROR(__xludf.DUMMYFUNCTION("""COMPUTED_VALUE"""),"DOLAN")</f>
        <v>DOLAN</v>
      </c>
      <c r="C57" s="20" t="str">
        <f>IFERROR(__xludf.DUMMYFUNCTION("""COMPUTED_VALUE"""),"RCD ESPANYOL")</f>
        <v>RCD ESPANYOL</v>
      </c>
      <c r="D57" s="20">
        <f>IFERROR(__xludf.DUMMYFUNCTION("""COMPUTED_VALUE"""),2.0)</f>
        <v>2</v>
      </c>
    </row>
    <row r="58">
      <c r="A58" s="20">
        <f>IFERROR(__xludf.DUMMYFUNCTION("""COMPUTED_VALUE"""),141.0)</f>
        <v>141</v>
      </c>
      <c r="B58" s="20" t="str">
        <f>IFERROR(__xludf.DUMMYFUNCTION("""COMPUTED_VALUE"""),"ROBERTO FERNÁNDEZ")</f>
        <v>ROBERTO FERNÁNDEZ</v>
      </c>
      <c r="C58" s="20" t="str">
        <f>IFERROR(__xludf.DUMMYFUNCTION("""COMPUTED_VALUE"""),"RCD ESPANYOL")</f>
        <v>RCD ESPANYOL</v>
      </c>
      <c r="D58" s="20">
        <f>IFERROR(__xludf.DUMMYFUNCTION("""COMPUTED_VALUE"""),1.0)</f>
        <v>1</v>
      </c>
    </row>
    <row r="59">
      <c r="A59" s="20">
        <f>IFERROR(__xludf.DUMMYFUNCTION("""COMPUTED_VALUE"""),144.0)</f>
        <v>144</v>
      </c>
      <c r="B59" s="20" t="str">
        <f>IFERROR(__xludf.DUMMYFUNCTION("""COMPUTED_VALUE"""),"PERE MILLA")</f>
        <v>PERE MILLA</v>
      </c>
      <c r="C59" s="20" t="str">
        <f>IFERROR(__xludf.DUMMYFUNCTION("""COMPUTED_VALUE"""),"RCD ESPANYOL")</f>
        <v>RCD ESPANYOL</v>
      </c>
      <c r="D59" s="20">
        <f>IFERROR(__xludf.DUMMYFUNCTION("""COMPUTED_VALUE"""),1.0)</f>
        <v>1</v>
      </c>
    </row>
    <row r="60">
      <c r="A60" s="20">
        <f>IFERROR(__xludf.DUMMYFUNCTION("""COMPUTED_VALUE"""),145.0)</f>
        <v>145</v>
      </c>
      <c r="B60" s="20" t="str">
        <f>IFERROR(__xludf.DUMMYFUNCTION("""COMPUTED_VALUE"""),"ESTADIO")</f>
        <v>ESTADIO</v>
      </c>
      <c r="C60" s="20" t="str">
        <f>IFERROR(__xludf.DUMMYFUNCTION("""COMPUTED_VALUE"""),"GETAFE CF")</f>
        <v>GETAFE CF</v>
      </c>
      <c r="D60" s="20">
        <f>IFERROR(__xludf.DUMMYFUNCTION("""COMPUTED_VALUE"""),1.0)</f>
        <v>1</v>
      </c>
    </row>
    <row r="61">
      <c r="A61" s="20">
        <f>IFERROR(__xludf.DUMMYFUNCTION("""COMPUTED_VALUE"""),146.0)</f>
        <v>146</v>
      </c>
      <c r="B61" s="20" t="str">
        <f>IFERROR(__xludf.DUMMYFUNCTION("""COMPUTED_VALUE"""),"DAVID SORIA")</f>
        <v>DAVID SORIA</v>
      </c>
      <c r="C61" s="20" t="str">
        <f>IFERROR(__xludf.DUMMYFUNCTION("""COMPUTED_VALUE"""),"GETAFE CF")</f>
        <v>GETAFE CF</v>
      </c>
      <c r="D61" s="20">
        <f>IFERROR(__xludf.DUMMYFUNCTION("""COMPUTED_VALUE"""),1.0)</f>
        <v>1</v>
      </c>
    </row>
    <row r="62">
      <c r="A62" s="20">
        <f>IFERROR(__xludf.DUMMYFUNCTION("""COMPUTED_VALUE"""),152.0)</f>
        <v>152</v>
      </c>
      <c r="B62" s="20" t="str">
        <f>IFERROR(__xludf.DUMMYFUNCTION("""COMPUTED_VALUE"""),"ABQAR")</f>
        <v>ABQAR</v>
      </c>
      <c r="C62" s="20" t="str">
        <f>IFERROR(__xludf.DUMMYFUNCTION("""COMPUTED_VALUE"""),"GETAFE CF")</f>
        <v>GETAFE CF</v>
      </c>
      <c r="D62" s="20">
        <f>IFERROR(__xludf.DUMMYFUNCTION("""COMPUTED_VALUE"""),1.0)</f>
        <v>1</v>
      </c>
    </row>
    <row r="63">
      <c r="A63" s="20">
        <f>IFERROR(__xludf.DUMMYFUNCTION("""COMPUTED_VALUE"""),153.0)</f>
        <v>153</v>
      </c>
      <c r="B63" s="20" t="str">
        <f>IFERROR(__xludf.DUMMYFUNCTION("""COMPUTED_VALUE"""),"DIEGO RICO")</f>
        <v>DIEGO RICO</v>
      </c>
      <c r="C63" s="20" t="str">
        <f>IFERROR(__xludf.DUMMYFUNCTION("""COMPUTED_VALUE"""),"GETAFE CF")</f>
        <v>GETAFE CF</v>
      </c>
      <c r="D63" s="20">
        <f>IFERROR(__xludf.DUMMYFUNCTION("""COMPUTED_VALUE"""),1.0)</f>
        <v>1</v>
      </c>
    </row>
    <row r="64">
      <c r="A64" s="20">
        <f>IFERROR(__xludf.DUMMYFUNCTION("""COMPUTED_VALUE"""),163.0)</f>
        <v>163</v>
      </c>
      <c r="B64" s="20" t="str">
        <f>IFERROR(__xludf.DUMMYFUNCTION("""COMPUTED_VALUE"""),"ESCUDO")</f>
        <v>ESCUDO</v>
      </c>
      <c r="C64" s="20" t="str">
        <f>IFERROR(__xludf.DUMMYFUNCTION("""COMPUTED_VALUE"""),"GIRONA FC")</f>
        <v>GIRONA FC</v>
      </c>
      <c r="D64" s="20">
        <f>IFERROR(__xludf.DUMMYFUNCTION("""COMPUTED_VALUE"""),1.0)</f>
        <v>1</v>
      </c>
    </row>
    <row r="65">
      <c r="A65" s="20">
        <f>IFERROR(__xludf.DUMMYFUNCTION("""COMPUTED_VALUE"""),163.0)</f>
        <v>163</v>
      </c>
      <c r="B65" s="20" t="str">
        <f>IFERROR(__xludf.DUMMYFUNCTION("""COMPUTED_VALUE"""),"ESTADIO")</f>
        <v>ESTADIO</v>
      </c>
      <c r="C65" s="20" t="str">
        <f>IFERROR(__xludf.DUMMYFUNCTION("""COMPUTED_VALUE"""),"GIRONA FC")</f>
        <v>GIRONA FC</v>
      </c>
      <c r="D65" s="20">
        <f>IFERROR(__xludf.DUMMYFUNCTION("""COMPUTED_VALUE"""),1.0)</f>
        <v>1</v>
      </c>
    </row>
    <row r="66">
      <c r="A66" s="20">
        <f>IFERROR(__xludf.DUMMYFUNCTION("""COMPUTED_VALUE"""),164.0)</f>
        <v>164</v>
      </c>
      <c r="B66" s="20" t="str">
        <f>IFERROR(__xludf.DUMMYFUNCTION("""COMPUTED_VALUE"""),"GAZZANIGA")</f>
        <v>GAZZANIGA</v>
      </c>
      <c r="C66" s="20" t="str">
        <f>IFERROR(__xludf.DUMMYFUNCTION("""COMPUTED_VALUE"""),"GIRONA FC")</f>
        <v>GIRONA FC</v>
      </c>
      <c r="D66" s="20">
        <f>IFERROR(__xludf.DUMMYFUNCTION("""COMPUTED_VALUE"""),1.0)</f>
        <v>1</v>
      </c>
    </row>
    <row r="67">
      <c r="A67" s="20">
        <f>IFERROR(__xludf.DUMMYFUNCTION("""COMPUTED_VALUE"""),172.0)</f>
        <v>172</v>
      </c>
      <c r="B67" s="20" t="str">
        <f>IFERROR(__xludf.DUMMYFUNCTION("""COMPUTED_VALUE"""),"WITSEL")</f>
        <v>WITSEL</v>
      </c>
      <c r="C67" s="20" t="str">
        <f>IFERROR(__xludf.DUMMYFUNCTION("""COMPUTED_VALUE"""),"GIRONA FC")</f>
        <v>GIRONA FC</v>
      </c>
      <c r="D67" s="20">
        <f>IFERROR(__xludf.DUMMYFUNCTION("""COMPUTED_VALUE"""),1.0)</f>
        <v>1</v>
      </c>
    </row>
    <row r="68">
      <c r="A68" s="20">
        <f>IFERROR(__xludf.DUMMYFUNCTION("""COMPUTED_VALUE"""),174.0)</f>
        <v>174</v>
      </c>
      <c r="B68" s="20" t="str">
        <f>IFERROR(__xludf.DUMMYFUNCTION("""COMPUTED_VALUE"""),"IVÁN MARTÍN")</f>
        <v>IVÁN MARTÍN</v>
      </c>
      <c r="C68" s="20" t="str">
        <f>IFERROR(__xludf.DUMMYFUNCTION("""COMPUTED_VALUE"""),"GIRONA FC")</f>
        <v>GIRONA FC</v>
      </c>
      <c r="D68" s="20">
        <f>IFERROR(__xludf.DUMMYFUNCTION("""COMPUTED_VALUE"""),2.0)</f>
        <v>2</v>
      </c>
    </row>
    <row r="69">
      <c r="A69" s="20">
        <f>IFERROR(__xludf.DUMMYFUNCTION("""COMPUTED_VALUE"""),175.0)</f>
        <v>175</v>
      </c>
      <c r="B69" s="20" t="str">
        <f>IFERROR(__xludf.DUMMYFUNCTION("""COMPUTED_VALUE"""),"YÁSER ASPRILLA")</f>
        <v>YÁSER ASPRILLA</v>
      </c>
      <c r="C69" s="20" t="str">
        <f>IFERROR(__xludf.DUMMYFUNCTION("""COMPUTED_VALUE"""),"GIRONA FC")</f>
        <v>GIRONA FC</v>
      </c>
      <c r="D69" s="20">
        <f>IFERROR(__xludf.DUMMYFUNCTION("""COMPUTED_VALUE"""),2.0)</f>
        <v>2</v>
      </c>
    </row>
    <row r="70">
      <c r="A70" s="20">
        <f>IFERROR(__xludf.DUMMYFUNCTION("""COMPUTED_VALUE"""),176.0)</f>
        <v>176</v>
      </c>
      <c r="B70" s="20" t="str">
        <f>IFERROR(__xludf.DUMMYFUNCTION("""COMPUTED_VALUE"""),"JOEL ROCA")</f>
        <v>JOEL ROCA</v>
      </c>
      <c r="C70" s="20" t="str">
        <f>IFERROR(__xludf.DUMMYFUNCTION("""COMPUTED_VALUE"""),"GIRONA FC")</f>
        <v>GIRONA FC</v>
      </c>
      <c r="D70" s="20">
        <f>IFERROR(__xludf.DUMMYFUNCTION("""COMPUTED_VALUE"""),1.0)</f>
        <v>1</v>
      </c>
    </row>
    <row r="71">
      <c r="A71" s="20">
        <f>IFERROR(__xludf.DUMMYFUNCTION("""COMPUTED_VALUE"""),179.0)</f>
        <v>179</v>
      </c>
      <c r="B71" s="20" t="str">
        <f>IFERROR(__xludf.DUMMYFUNCTION("""COMPUTED_VALUE"""),"STUANI")</f>
        <v>STUANI</v>
      </c>
      <c r="C71" s="20" t="str">
        <f>IFERROR(__xludf.DUMMYFUNCTION("""COMPUTED_VALUE"""),"GIRONA FC")</f>
        <v>GIRONA FC</v>
      </c>
      <c r="D71" s="20">
        <f>IFERROR(__xludf.DUMMYFUNCTION("""COMPUTED_VALUE"""),1.0)</f>
        <v>1</v>
      </c>
    </row>
    <row r="72">
      <c r="A72" s="20">
        <f>IFERROR(__xludf.DUMMYFUNCTION("""COMPUTED_VALUE"""),187.0)</f>
        <v>187</v>
      </c>
      <c r="B72" s="20" t="str">
        <f>IFERROR(__xludf.DUMMYFUNCTION("""COMPUTED_VALUE"""),"MATÍAS MORENO")</f>
        <v>MATÍAS MORENO</v>
      </c>
      <c r="C72" s="20" t="str">
        <f>IFERROR(__xludf.DUMMYFUNCTION("""COMPUTED_VALUE"""),"LEVANTE UD")</f>
        <v>LEVANTE UD</v>
      </c>
      <c r="D72" s="20">
        <f>IFERROR(__xludf.DUMMYFUNCTION("""COMPUTED_VALUE"""),1.0)</f>
        <v>1</v>
      </c>
    </row>
    <row r="73">
      <c r="A73" s="20">
        <f>IFERROR(__xludf.DUMMYFUNCTION("""COMPUTED_VALUE"""),189.0)</f>
        <v>189</v>
      </c>
      <c r="B73" s="20" t="str">
        <f>IFERROR(__xludf.DUMMYFUNCTION("""COMPUTED_VALUE"""),"PAMPÍN")</f>
        <v>PAMPÍN</v>
      </c>
      <c r="C73" s="20" t="str">
        <f>IFERROR(__xludf.DUMMYFUNCTION("""COMPUTED_VALUE"""),"LEVANTE UD")</f>
        <v>LEVANTE UD</v>
      </c>
      <c r="D73" s="20">
        <f>IFERROR(__xludf.DUMMYFUNCTION("""COMPUTED_VALUE"""),1.0)</f>
        <v>1</v>
      </c>
    </row>
    <row r="74">
      <c r="A74" s="20">
        <f>IFERROR(__xludf.DUMMYFUNCTION("""COMPUTED_VALUE"""),190.0)</f>
        <v>190</v>
      </c>
      <c r="B74" s="20" t="str">
        <f>IFERROR(__xludf.DUMMYFUNCTION("""COMPUTED_VALUE"""),"ORIOL REY")</f>
        <v>ORIOL REY</v>
      </c>
      <c r="C74" s="20" t="str">
        <f>IFERROR(__xludf.DUMMYFUNCTION("""COMPUTED_VALUE"""),"LEVANTE UD")</f>
        <v>LEVANTE UD</v>
      </c>
      <c r="D74" s="20">
        <f>IFERROR(__xludf.DUMMYFUNCTION("""COMPUTED_VALUE"""),1.0)</f>
        <v>1</v>
      </c>
    </row>
    <row r="75">
      <c r="A75" s="20">
        <f>IFERROR(__xludf.DUMMYFUNCTION("""COMPUTED_VALUE"""),195.0)</f>
        <v>195</v>
      </c>
      <c r="B75" s="20" t="str">
        <f>IFERROR(__xludf.DUMMYFUNCTION("""COMPUTED_VALUE"""),"MORALES")</f>
        <v>MORALES</v>
      </c>
      <c r="C75" s="20" t="str">
        <f>IFERROR(__xludf.DUMMYFUNCTION("""COMPUTED_VALUE"""),"LEVANTE UD")</f>
        <v>LEVANTE UD</v>
      </c>
      <c r="D75" s="20">
        <f>IFERROR(__xludf.DUMMYFUNCTION("""COMPUTED_VALUE"""),1.0)</f>
        <v>1</v>
      </c>
    </row>
    <row r="76">
      <c r="A76" s="20">
        <f>IFERROR(__xludf.DUMMYFUNCTION("""COMPUTED_VALUE"""),202.0)</f>
        <v>202</v>
      </c>
      <c r="B76" s="20" t="str">
        <f>IFERROR(__xludf.DUMMYFUNCTION("""COMPUTED_VALUE"""),"CARVAJAL")</f>
        <v>CARVAJAL</v>
      </c>
      <c r="C76" s="20" t="str">
        <f>IFERROR(__xludf.DUMMYFUNCTION("""COMPUTED_VALUE"""),"REAL MADRID")</f>
        <v>REAL MADRID</v>
      </c>
      <c r="D76" s="20">
        <f>IFERROR(__xludf.DUMMYFUNCTION("""COMPUTED_VALUE"""),1.0)</f>
        <v>1</v>
      </c>
    </row>
    <row r="77">
      <c r="A77" s="20">
        <f>IFERROR(__xludf.DUMMYFUNCTION("""COMPUTED_VALUE"""),203.0)</f>
        <v>203</v>
      </c>
      <c r="B77" s="20" t="str">
        <f>IFERROR(__xludf.DUMMYFUNCTION("""COMPUTED_VALUE"""),"TRENT")</f>
        <v>TRENT</v>
      </c>
      <c r="C77" s="20" t="str">
        <f>IFERROR(__xludf.DUMMYFUNCTION("""COMPUTED_VALUE"""),"REAL MADRID")</f>
        <v>REAL MADRID</v>
      </c>
      <c r="D77" s="20">
        <f>IFERROR(__xludf.DUMMYFUNCTION("""COMPUTED_VALUE"""),1.0)</f>
        <v>1</v>
      </c>
    </row>
    <row r="78">
      <c r="A78" s="20">
        <f>IFERROR(__xludf.DUMMYFUNCTION("""COMPUTED_VALUE"""),209.0)</f>
        <v>209</v>
      </c>
      <c r="B78" s="20" t="str">
        <f>IFERROR(__xludf.DUMMYFUNCTION("""COMPUTED_VALUE"""),"FEDE VALVERDE")</f>
        <v>FEDE VALVERDE</v>
      </c>
      <c r="C78" s="20" t="str">
        <f>IFERROR(__xludf.DUMMYFUNCTION("""COMPUTED_VALUE"""),"REAL MADRID")</f>
        <v>REAL MADRID</v>
      </c>
      <c r="D78" s="20">
        <f>IFERROR(__xludf.DUMMYFUNCTION("""COMPUTED_VALUE"""),1.0)</f>
        <v>1</v>
      </c>
    </row>
    <row r="79">
      <c r="A79" s="20">
        <f>IFERROR(__xludf.DUMMYFUNCTION("""COMPUTED_VALUE"""),211.0)</f>
        <v>211</v>
      </c>
      <c r="B79" s="20" t="str">
        <f>IFERROR(__xludf.DUMMYFUNCTION("""COMPUTED_VALUE"""),"GÜLER")</f>
        <v>GÜLER</v>
      </c>
      <c r="C79" s="20" t="str">
        <f>IFERROR(__xludf.DUMMYFUNCTION("""COMPUTED_VALUE"""),"REAL MADRID")</f>
        <v>REAL MADRID</v>
      </c>
      <c r="D79" s="20">
        <f>IFERROR(__xludf.DUMMYFUNCTION("""COMPUTED_VALUE"""),1.0)</f>
        <v>1</v>
      </c>
    </row>
    <row r="80">
      <c r="A80" s="20">
        <f>IFERROR(__xludf.DUMMYFUNCTION("""COMPUTED_VALUE"""),212.0)</f>
        <v>212</v>
      </c>
      <c r="B80" s="20" t="str">
        <f>IFERROR(__xludf.DUMMYFUNCTION("""COMPUTED_VALUE"""),"MASTANTUONO")</f>
        <v>MASTANTUONO</v>
      </c>
      <c r="C80" s="20" t="str">
        <f>IFERROR(__xludf.DUMMYFUNCTION("""COMPUTED_VALUE"""),"REAL MADRID")</f>
        <v>REAL MADRID</v>
      </c>
      <c r="D80" s="20">
        <f>IFERROR(__xludf.DUMMYFUNCTION("""COMPUTED_VALUE"""),1.0)</f>
        <v>1</v>
      </c>
    </row>
    <row r="81">
      <c r="A81" s="20">
        <f>IFERROR(__xludf.DUMMYFUNCTION("""COMPUTED_VALUE"""),215.0)</f>
        <v>215</v>
      </c>
      <c r="B81" s="20" t="str">
        <f>IFERROR(__xludf.DUMMYFUNCTION("""COMPUTED_VALUE"""),"GONZALO")</f>
        <v>GONZALO</v>
      </c>
      <c r="C81" s="20" t="str">
        <f>IFERROR(__xludf.DUMMYFUNCTION("""COMPUTED_VALUE"""),"REAL MADRID")</f>
        <v>REAL MADRID</v>
      </c>
      <c r="D81" s="20">
        <f>IFERROR(__xludf.DUMMYFUNCTION("""COMPUTED_VALUE"""),1.0)</f>
        <v>1</v>
      </c>
    </row>
    <row r="82">
      <c r="A82" s="20">
        <f>IFERROR(__xludf.DUMMYFUNCTION("""COMPUTED_VALUE"""),216.0)</f>
        <v>216</v>
      </c>
      <c r="B82" s="20" t="str">
        <f>IFERROR(__xludf.DUMMYFUNCTION("""COMPUTED_VALUE"""),"VINÍCIUS")</f>
        <v>VINÍCIUS</v>
      </c>
      <c r="C82" s="20" t="str">
        <f>IFERROR(__xludf.DUMMYFUNCTION("""COMPUTED_VALUE"""),"REAL MADRID")</f>
        <v>REAL MADRID</v>
      </c>
      <c r="D82" s="20">
        <f>IFERROR(__xludf.DUMMYFUNCTION("""COMPUTED_VALUE"""),2.0)</f>
        <v>2</v>
      </c>
    </row>
    <row r="83">
      <c r="A83" s="20">
        <f>IFERROR(__xludf.DUMMYFUNCTION("""COMPUTED_VALUE"""),217.0)</f>
        <v>217</v>
      </c>
      <c r="B83" s="20" t="str">
        <f>IFERROR(__xludf.DUMMYFUNCTION("""COMPUTED_VALUE"""),"ESCUDO")</f>
        <v>ESCUDO</v>
      </c>
      <c r="C83" s="20" t="str">
        <f>IFERROR(__xludf.DUMMYFUNCTION("""COMPUTED_VALUE"""),"RCD MALLORCA")</f>
        <v>RCD MALLORCA</v>
      </c>
      <c r="D83" s="20">
        <f>IFERROR(__xludf.DUMMYFUNCTION("""COMPUTED_VALUE"""),1.0)</f>
        <v>1</v>
      </c>
    </row>
    <row r="84">
      <c r="A84" s="20">
        <f>IFERROR(__xludf.DUMMYFUNCTION("""COMPUTED_VALUE"""),217.0)</f>
        <v>217</v>
      </c>
      <c r="B84" s="20" t="str">
        <f>IFERROR(__xludf.DUMMYFUNCTION("""COMPUTED_VALUE"""),"ESTADIO")</f>
        <v>ESTADIO</v>
      </c>
      <c r="C84" s="20" t="str">
        <f>IFERROR(__xludf.DUMMYFUNCTION("""COMPUTED_VALUE"""),"RCD MALLORCA")</f>
        <v>RCD MALLORCA</v>
      </c>
      <c r="D84" s="20">
        <f>IFERROR(__xludf.DUMMYFUNCTION("""COMPUTED_VALUE"""),1.0)</f>
        <v>1</v>
      </c>
    </row>
    <row r="85">
      <c r="A85" s="20">
        <f>IFERROR(__xludf.DUMMYFUNCTION("""COMPUTED_VALUE"""),219.0)</f>
        <v>219</v>
      </c>
      <c r="B85" s="20" t="str">
        <f>IFERROR(__xludf.DUMMYFUNCTION("""COMPUTED_VALUE"""),"BERGSTRÖM")</f>
        <v>BERGSTRÖM</v>
      </c>
      <c r="C85" s="20" t="str">
        <f>IFERROR(__xludf.DUMMYFUNCTION("""COMPUTED_VALUE"""),"RCD MALLORCA")</f>
        <v>RCD MALLORCA</v>
      </c>
      <c r="D85" s="20">
        <f>IFERROR(__xludf.DUMMYFUNCTION("""COMPUTED_VALUE"""),1.0)</f>
        <v>1</v>
      </c>
    </row>
    <row r="86">
      <c r="A86" s="20">
        <f>IFERROR(__xludf.DUMMYFUNCTION("""COMPUTED_VALUE"""),222.0)</f>
        <v>222</v>
      </c>
      <c r="B86" s="20" t="str">
        <f>IFERROR(__xludf.DUMMYFUNCTION("""COMPUTED_VALUE"""),"VALJENT")</f>
        <v>VALJENT</v>
      </c>
      <c r="C86" s="20" t="str">
        <f>IFERROR(__xludf.DUMMYFUNCTION("""COMPUTED_VALUE"""),"RCD MALLORCA")</f>
        <v>RCD MALLORCA</v>
      </c>
      <c r="D86" s="20">
        <f>IFERROR(__xludf.DUMMYFUNCTION("""COMPUTED_VALUE"""),2.0)</f>
        <v>2</v>
      </c>
    </row>
    <row r="87">
      <c r="A87" s="20">
        <f>IFERROR(__xludf.DUMMYFUNCTION("""COMPUTED_VALUE"""),224.0)</f>
        <v>224</v>
      </c>
      <c r="B87" s="20" t="str">
        <f>IFERROR(__xludf.DUMMYFUNCTION("""COMPUTED_VALUE"""),"KUMBULLA")</f>
        <v>KUMBULLA</v>
      </c>
      <c r="C87" s="20" t="str">
        <f>IFERROR(__xludf.DUMMYFUNCTION("""COMPUTED_VALUE"""),"RCD MALLORCA")</f>
        <v>RCD MALLORCA</v>
      </c>
      <c r="D87" s="20">
        <f>IFERROR(__xludf.DUMMYFUNCTION("""COMPUTED_VALUE"""),1.0)</f>
        <v>1</v>
      </c>
    </row>
    <row r="88">
      <c r="A88" s="20">
        <f>IFERROR(__xludf.DUMMYFUNCTION("""COMPUTED_VALUE"""),225.0)</f>
        <v>225</v>
      </c>
      <c r="B88" s="20" t="str">
        <f>IFERROR(__xludf.DUMMYFUNCTION("""COMPUTED_VALUE"""),"MOJICA")</f>
        <v>MOJICA</v>
      </c>
      <c r="C88" s="20" t="str">
        <f>IFERROR(__xludf.DUMMYFUNCTION("""COMPUTED_VALUE"""),"RCD MALLORCA")</f>
        <v>RCD MALLORCA</v>
      </c>
      <c r="D88" s="20">
        <f>IFERROR(__xludf.DUMMYFUNCTION("""COMPUTED_VALUE"""),1.0)</f>
        <v>1</v>
      </c>
    </row>
    <row r="89">
      <c r="A89" s="20">
        <f>IFERROR(__xludf.DUMMYFUNCTION("""COMPUTED_VALUE"""),228.0)</f>
        <v>228</v>
      </c>
      <c r="B89" s="20" t="str">
        <f>IFERROR(__xludf.DUMMYFUNCTION("""COMPUTED_VALUE"""),"DARDER")</f>
        <v>DARDER</v>
      </c>
      <c r="C89" s="20" t="str">
        <f>IFERROR(__xludf.DUMMYFUNCTION("""COMPUTED_VALUE"""),"RCD MALLORCA")</f>
        <v>RCD MALLORCA</v>
      </c>
      <c r="D89" s="20">
        <f>IFERROR(__xludf.DUMMYFUNCTION("""COMPUTED_VALUE"""),1.0)</f>
        <v>1</v>
      </c>
    </row>
    <row r="90">
      <c r="A90" s="20">
        <f>IFERROR(__xludf.DUMMYFUNCTION("""COMPUTED_VALUE"""),230.0)</f>
        <v>230</v>
      </c>
      <c r="B90" s="20" t="str">
        <f>IFERROR(__xludf.DUMMYFUNCTION("""COMPUTED_VALUE"""),"PABLO TORRE")</f>
        <v>PABLO TORRE</v>
      </c>
      <c r="C90" s="20" t="str">
        <f>IFERROR(__xludf.DUMMYFUNCTION("""COMPUTED_VALUE"""),"RCD MALLORCA")</f>
        <v>RCD MALLORCA</v>
      </c>
      <c r="D90" s="20">
        <f>IFERROR(__xludf.DUMMYFUNCTION("""COMPUTED_VALUE"""),1.0)</f>
        <v>1</v>
      </c>
    </row>
    <row r="91">
      <c r="A91" s="20">
        <f>IFERROR(__xludf.DUMMYFUNCTION("""COMPUTED_VALUE"""),234.0)</f>
        <v>234</v>
      </c>
      <c r="B91" s="20" t="str">
        <f>IFERROR(__xludf.DUMMYFUNCTION("""COMPUTED_VALUE"""),"JAN VIRGILI")</f>
        <v>JAN VIRGILI</v>
      </c>
      <c r="C91" s="20" t="str">
        <f>IFERROR(__xludf.DUMMYFUNCTION("""COMPUTED_VALUE"""),"RCD MALLORCA")</f>
        <v>RCD MALLORCA</v>
      </c>
      <c r="D91" s="20">
        <f>IFERROR(__xludf.DUMMYFUNCTION("""COMPUTED_VALUE"""),1.0)</f>
        <v>1</v>
      </c>
    </row>
    <row r="92">
      <c r="A92" s="20">
        <f>IFERROR(__xludf.DUMMYFUNCTION("""COMPUTED_VALUE"""),235.0)</f>
        <v>235</v>
      </c>
      <c r="B92" s="20" t="str">
        <f>IFERROR(__xludf.DUMMYFUNCTION("""COMPUTED_VALUE"""),"ESCUDO")</f>
        <v>ESCUDO</v>
      </c>
      <c r="C92" s="20" t="str">
        <f>IFERROR(__xludf.DUMMYFUNCTION("""COMPUTED_VALUE"""),"CA OSASUNA")</f>
        <v>CA OSASUNA</v>
      </c>
      <c r="D92" s="20">
        <f>IFERROR(__xludf.DUMMYFUNCTION("""COMPUTED_VALUE"""),2.0)</f>
        <v>2</v>
      </c>
    </row>
    <row r="93">
      <c r="A93" s="20">
        <f>IFERROR(__xludf.DUMMYFUNCTION("""COMPUTED_VALUE"""),235.0)</f>
        <v>235</v>
      </c>
      <c r="B93" s="20" t="str">
        <f>IFERROR(__xludf.DUMMYFUNCTION("""COMPUTED_VALUE"""),"ESTADIO")</f>
        <v>ESTADIO</v>
      </c>
      <c r="C93" s="20" t="str">
        <f>IFERROR(__xludf.DUMMYFUNCTION("""COMPUTED_VALUE"""),"CA OSASUNA")</f>
        <v>CA OSASUNA</v>
      </c>
      <c r="D93" s="20">
        <f>IFERROR(__xludf.DUMMYFUNCTION("""COMPUTED_VALUE"""),1.0)</f>
        <v>1</v>
      </c>
    </row>
    <row r="94">
      <c r="A94" s="20">
        <f>IFERROR(__xludf.DUMMYFUNCTION("""COMPUTED_VALUE"""),236.0)</f>
        <v>236</v>
      </c>
      <c r="B94" s="20" t="str">
        <f>IFERROR(__xludf.DUMMYFUNCTION("""COMPUTED_VALUE"""),"SERGIO HERRERA")</f>
        <v>SERGIO HERRERA</v>
      </c>
      <c r="C94" s="20" t="str">
        <f>IFERROR(__xludf.DUMMYFUNCTION("""COMPUTED_VALUE"""),"CA OSASUNA")</f>
        <v>CA OSASUNA</v>
      </c>
      <c r="D94" s="20">
        <f>IFERROR(__xludf.DUMMYFUNCTION("""COMPUTED_VALUE"""),1.0)</f>
        <v>1</v>
      </c>
    </row>
    <row r="95">
      <c r="A95" s="20">
        <f>IFERROR(__xludf.DUMMYFUNCTION("""COMPUTED_VALUE"""),237.0)</f>
        <v>237</v>
      </c>
      <c r="B95" s="20" t="str">
        <f>IFERROR(__xludf.DUMMYFUNCTION("""COMPUTED_VALUE"""),"AITOR FERNÁNDEZ")</f>
        <v>AITOR FERNÁNDEZ</v>
      </c>
      <c r="C95" s="20" t="str">
        <f>IFERROR(__xludf.DUMMYFUNCTION("""COMPUTED_VALUE"""),"CA OSASUNA")</f>
        <v>CA OSASUNA</v>
      </c>
      <c r="D95" s="20">
        <f>IFERROR(__xludf.DUMMYFUNCTION("""COMPUTED_VALUE"""),1.0)</f>
        <v>1</v>
      </c>
    </row>
    <row r="96">
      <c r="A96" s="20">
        <f>IFERROR(__xludf.DUMMYFUNCTION("""COMPUTED_VALUE"""),245.0)</f>
        <v>245</v>
      </c>
      <c r="B96" s="20" t="str">
        <f>IFERROR(__xludf.DUMMYFUNCTION("""COMPUTED_VALUE"""),"MONCAYOLA")</f>
        <v>MONCAYOLA</v>
      </c>
      <c r="C96" s="20" t="str">
        <f>IFERROR(__xludf.DUMMYFUNCTION("""COMPUTED_VALUE"""),"CA OSASUNA")</f>
        <v>CA OSASUNA</v>
      </c>
      <c r="D96" s="20">
        <f>IFERROR(__xludf.DUMMYFUNCTION("""COMPUTED_VALUE"""),1.0)</f>
        <v>1</v>
      </c>
    </row>
    <row r="97">
      <c r="A97" s="20">
        <f>IFERROR(__xludf.DUMMYFUNCTION("""COMPUTED_VALUE"""),248.0)</f>
        <v>248</v>
      </c>
      <c r="B97" s="20" t="str">
        <f>IFERROR(__xludf.DUMMYFUNCTION("""COMPUTED_VALUE"""),"AIMAR OROZ")</f>
        <v>AIMAR OROZ</v>
      </c>
      <c r="C97" s="20" t="str">
        <f>IFERROR(__xludf.DUMMYFUNCTION("""COMPUTED_VALUE"""),"CA OSASUNA")</f>
        <v>CA OSASUNA</v>
      </c>
      <c r="D97" s="20">
        <f>IFERROR(__xludf.DUMMYFUNCTION("""COMPUTED_VALUE"""),2.0)</f>
        <v>2</v>
      </c>
    </row>
    <row r="98">
      <c r="A98" s="20">
        <f>IFERROR(__xludf.DUMMYFUNCTION("""COMPUTED_VALUE"""),250.0)</f>
        <v>250</v>
      </c>
      <c r="B98" s="20" t="str">
        <f>IFERROR(__xludf.DUMMYFUNCTION("""COMPUTED_VALUE"""),"RAÚL GARCÍA")</f>
        <v>RAÚL GARCÍA</v>
      </c>
      <c r="C98" s="20" t="str">
        <f>IFERROR(__xludf.DUMMYFUNCTION("""COMPUTED_VALUE"""),"CA OSASUNA")</f>
        <v>CA OSASUNA</v>
      </c>
      <c r="D98" s="20">
        <f>IFERROR(__xludf.DUMMYFUNCTION("""COMPUTED_VALUE"""),2.0)</f>
        <v>2</v>
      </c>
    </row>
    <row r="99">
      <c r="A99" s="20">
        <f>IFERROR(__xludf.DUMMYFUNCTION("""COMPUTED_VALUE"""),258.0)</f>
        <v>258</v>
      </c>
      <c r="B99" s="20" t="str">
        <f>IFERROR(__xludf.DUMMYFUNCTION("""COMPUTED_VALUE"""),"DAVID CARMO")</f>
        <v>DAVID CARMO</v>
      </c>
      <c r="C99" s="20" t="str">
        <f>IFERROR(__xludf.DUMMYFUNCTION("""COMPUTED_VALUE"""),"REAL OVIEDO")</f>
        <v>REAL OVIEDO</v>
      </c>
      <c r="D99" s="20">
        <f>IFERROR(__xludf.DUMMYFUNCTION("""COMPUTED_VALUE"""),2.0)</f>
        <v>2</v>
      </c>
    </row>
    <row r="100">
      <c r="A100" s="20">
        <f>IFERROR(__xludf.DUMMYFUNCTION("""COMPUTED_VALUE"""),259.0)</f>
        <v>259</v>
      </c>
      <c r="B100" s="20" t="str">
        <f>IFERROR(__xludf.DUMMYFUNCTION("""COMPUTED_VALUE"""),"DANI CALVO")</f>
        <v>DANI CALVO</v>
      </c>
      <c r="C100" s="20" t="str">
        <f>IFERROR(__xludf.DUMMYFUNCTION("""COMPUTED_VALUE"""),"REAL OVIEDO")</f>
        <v>REAL OVIEDO</v>
      </c>
      <c r="D100" s="20">
        <f>IFERROR(__xludf.DUMMYFUNCTION("""COMPUTED_VALUE"""),2.0)</f>
        <v>2</v>
      </c>
    </row>
    <row r="101">
      <c r="A101" s="20">
        <f>IFERROR(__xludf.DUMMYFUNCTION("""COMPUTED_VALUE"""),260.0)</f>
        <v>260</v>
      </c>
      <c r="B101" s="20" t="str">
        <f>IFERROR(__xludf.DUMMYFUNCTION("""COMPUTED_VALUE"""),"RAHIM ALHASSANE")</f>
        <v>RAHIM ALHASSANE</v>
      </c>
      <c r="C101" s="20" t="str">
        <f>IFERROR(__xludf.DUMMYFUNCTION("""COMPUTED_VALUE"""),"REAL OVIEDO")</f>
        <v>REAL OVIEDO</v>
      </c>
      <c r="D101" s="20">
        <f>IFERROR(__xludf.DUMMYFUNCTION("""COMPUTED_VALUE"""),1.0)</f>
        <v>1</v>
      </c>
    </row>
    <row r="102">
      <c r="A102" s="20">
        <f>IFERROR(__xludf.DUMMYFUNCTION("""COMPUTED_VALUE"""),262.0)</f>
        <v>262</v>
      </c>
      <c r="B102" s="20" t="str">
        <f>IFERROR(__xludf.DUMMYFUNCTION("""COMPUTED_VALUE"""),"REINA")</f>
        <v>REINA</v>
      </c>
      <c r="C102" s="20" t="str">
        <f>IFERROR(__xludf.DUMMYFUNCTION("""COMPUTED_VALUE"""),"REAL OVIEDO")</f>
        <v>REAL OVIEDO</v>
      </c>
      <c r="D102" s="20">
        <f>IFERROR(__xludf.DUMMYFUNCTION("""COMPUTED_VALUE"""),1.0)</f>
        <v>1</v>
      </c>
    </row>
    <row r="103">
      <c r="A103" s="20">
        <f>IFERROR(__xludf.DUMMYFUNCTION("""COMPUTED_VALUE"""),265.0)</f>
        <v>265</v>
      </c>
      <c r="B103" s="20" t="str">
        <f>IFERROR(__xludf.DUMMYFUNCTION("""COMPUTED_VALUE"""),"ILIC")</f>
        <v>ILIC</v>
      </c>
      <c r="C103" s="20" t="str">
        <f>IFERROR(__xludf.DUMMYFUNCTION("""COMPUTED_VALUE"""),"REAL OVIEDO")</f>
        <v>REAL OVIEDO</v>
      </c>
      <c r="D103" s="20">
        <f>IFERROR(__xludf.DUMMYFUNCTION("""COMPUTED_VALUE"""),1.0)</f>
        <v>1</v>
      </c>
    </row>
    <row r="104">
      <c r="A104" s="20">
        <f>IFERROR(__xludf.DUMMYFUNCTION("""COMPUTED_VALUE"""),269.0)</f>
        <v>269</v>
      </c>
      <c r="B104" s="20" t="str">
        <f>IFERROR(__xludf.DUMMYFUNCTION("""COMPUTED_VALUE"""),"FEDE VIÑAS")</f>
        <v>FEDE VIÑAS</v>
      </c>
      <c r="C104" s="20" t="str">
        <f>IFERROR(__xludf.DUMMYFUNCTION("""COMPUTED_VALUE"""),"REAL OVIEDO")</f>
        <v>REAL OVIEDO</v>
      </c>
      <c r="D104" s="20">
        <f>IFERROR(__xludf.DUMMYFUNCTION("""COMPUTED_VALUE"""),1.0)</f>
        <v>1</v>
      </c>
    </row>
    <row r="105">
      <c r="A105" s="20">
        <f>IFERROR(__xludf.DUMMYFUNCTION("""COMPUTED_VALUE"""),277.0)</f>
        <v>277</v>
      </c>
      <c r="B105" s="20" t="str">
        <f>IFERROR(__xludf.DUMMYFUNCTION("""COMPUTED_VALUE"""),"LUIZ FELIPE")</f>
        <v>LUIZ FELIPE</v>
      </c>
      <c r="C105" s="20" t="str">
        <f>IFERROR(__xludf.DUMMYFUNCTION("""COMPUTED_VALUE"""),"RAYO VALLECANO")</f>
        <v>RAYO VALLECANO</v>
      </c>
      <c r="D105" s="20">
        <f>IFERROR(__xludf.DUMMYFUNCTION("""COMPUTED_VALUE"""),1.0)</f>
        <v>1</v>
      </c>
    </row>
    <row r="106">
      <c r="A106" s="20">
        <f>IFERROR(__xludf.DUMMYFUNCTION("""COMPUTED_VALUE"""),278.0)</f>
        <v>278</v>
      </c>
      <c r="B106" s="20" t="str">
        <f>IFERROR(__xludf.DUMMYFUNCTION("""COMPUTED_VALUE"""),"PEP CHAVARRÍA")</f>
        <v>PEP CHAVARRÍA</v>
      </c>
      <c r="C106" s="20" t="str">
        <f>IFERROR(__xludf.DUMMYFUNCTION("""COMPUTED_VALUE"""),"RAYO VALLECANO")</f>
        <v>RAYO VALLECANO</v>
      </c>
      <c r="D106" s="20">
        <f>IFERROR(__xludf.DUMMYFUNCTION("""COMPUTED_VALUE"""),2.0)</f>
        <v>2</v>
      </c>
    </row>
    <row r="107">
      <c r="A107" s="20">
        <f>IFERROR(__xludf.DUMMYFUNCTION("""COMPUTED_VALUE"""),281.0)</f>
        <v>281</v>
      </c>
      <c r="B107" s="20" t="str">
        <f>IFERROR(__xludf.DUMMYFUNCTION("""COMPUTED_VALUE"""),"ÓSCAR VALENTÍN")</f>
        <v>ÓSCAR VALENTÍN</v>
      </c>
      <c r="C107" s="20" t="str">
        <f>IFERROR(__xludf.DUMMYFUNCTION("""COMPUTED_VALUE"""),"RAYO VALLECANO")</f>
        <v>RAYO VALLECANO</v>
      </c>
      <c r="D107" s="20">
        <f>IFERROR(__xludf.DUMMYFUNCTION("""COMPUTED_VALUE"""),1.0)</f>
        <v>1</v>
      </c>
    </row>
    <row r="108">
      <c r="A108" s="20">
        <f>IFERROR(__xludf.DUMMYFUNCTION("""COMPUTED_VALUE"""),282.0)</f>
        <v>282</v>
      </c>
      <c r="B108" s="20" t="str">
        <f>IFERROR(__xludf.DUMMYFUNCTION("""COMPUTED_VALUE"""),"ISI")</f>
        <v>ISI</v>
      </c>
      <c r="C108" s="20" t="str">
        <f>IFERROR(__xludf.DUMMYFUNCTION("""COMPUTED_VALUE"""),"RAYO VALLECANO")</f>
        <v>RAYO VALLECANO</v>
      </c>
      <c r="D108" s="20">
        <f>IFERROR(__xludf.DUMMYFUNCTION("""COMPUTED_VALUE"""),1.0)</f>
        <v>1</v>
      </c>
    </row>
    <row r="109">
      <c r="A109" s="20">
        <f>IFERROR(__xludf.DUMMYFUNCTION("""COMPUTED_VALUE"""),283.0)</f>
        <v>283</v>
      </c>
      <c r="B109" s="20" t="str">
        <f>IFERROR(__xludf.DUMMYFUNCTION("""COMPUTED_VALUE"""),"PEDRO DÍAZ")</f>
        <v>PEDRO DÍAZ</v>
      </c>
      <c r="C109" s="20" t="str">
        <f>IFERROR(__xludf.DUMMYFUNCTION("""COMPUTED_VALUE"""),"RAYO VALLECANO")</f>
        <v>RAYO VALLECANO</v>
      </c>
      <c r="D109" s="20">
        <f>IFERROR(__xludf.DUMMYFUNCTION("""COMPUTED_VALUE"""),1.0)</f>
        <v>1</v>
      </c>
    </row>
    <row r="110">
      <c r="A110" s="20">
        <f>IFERROR(__xludf.DUMMYFUNCTION("""COMPUTED_VALUE"""),286.0)</f>
        <v>286</v>
      </c>
      <c r="B110" s="20" t="str">
        <f>IFERROR(__xludf.DUMMYFUNCTION("""COMPUTED_VALUE"""),"CAMELLO")</f>
        <v>CAMELLO</v>
      </c>
      <c r="C110" s="20" t="str">
        <f>IFERROR(__xludf.DUMMYFUNCTION("""COMPUTED_VALUE"""),"RAYO VALLECANO")</f>
        <v>RAYO VALLECANO</v>
      </c>
      <c r="D110" s="20">
        <f>IFERROR(__xludf.DUMMYFUNCTION("""COMPUTED_VALUE"""),1.0)</f>
        <v>1</v>
      </c>
    </row>
    <row r="111">
      <c r="A111" s="20">
        <f>IFERROR(__xludf.DUMMYFUNCTION("""COMPUTED_VALUE"""),287.0)</f>
        <v>287</v>
      </c>
      <c r="B111" s="20" t="str">
        <f>IFERROR(__xludf.DUMMYFUNCTION("""COMPUTED_VALUE"""),"DE FRUTOS")</f>
        <v>DE FRUTOS</v>
      </c>
      <c r="C111" s="20" t="str">
        <f>IFERROR(__xludf.DUMMYFUNCTION("""COMPUTED_VALUE"""),"RAYO VALLECANO")</f>
        <v>RAYO VALLECANO</v>
      </c>
      <c r="D111" s="20">
        <f>IFERROR(__xludf.DUMMYFUNCTION("""COMPUTED_VALUE"""),1.0)</f>
        <v>1</v>
      </c>
    </row>
    <row r="112">
      <c r="A112" s="20">
        <f>IFERROR(__xludf.DUMMYFUNCTION("""COMPUTED_VALUE"""),290.0)</f>
        <v>290</v>
      </c>
      <c r="B112" s="20" t="str">
        <f>IFERROR(__xludf.DUMMYFUNCTION("""COMPUTED_VALUE"""),"REMIRO")</f>
        <v>REMIRO</v>
      </c>
      <c r="C112" s="20" t="str">
        <f>IFERROR(__xludf.DUMMYFUNCTION("""COMPUTED_VALUE"""),"REAL SOCIEDAD")</f>
        <v>REAL SOCIEDAD</v>
      </c>
      <c r="D112" s="20">
        <f>IFERROR(__xludf.DUMMYFUNCTION("""COMPUTED_VALUE"""),2.0)</f>
        <v>2</v>
      </c>
    </row>
    <row r="113">
      <c r="A113" s="20">
        <f>IFERROR(__xludf.DUMMYFUNCTION("""COMPUTED_VALUE"""),292.0)</f>
        <v>292</v>
      </c>
      <c r="B113" s="20" t="str">
        <f>IFERROR(__xludf.DUMMYFUNCTION("""COMPUTED_VALUE"""),"ARAMBURU")</f>
        <v>ARAMBURU</v>
      </c>
      <c r="C113" s="20" t="str">
        <f>IFERROR(__xludf.DUMMYFUNCTION("""COMPUTED_VALUE"""),"REAL SOCIEDAD")</f>
        <v>REAL SOCIEDAD</v>
      </c>
      <c r="D113" s="20">
        <f>IFERROR(__xludf.DUMMYFUNCTION("""COMPUTED_VALUE"""),1.0)</f>
        <v>1</v>
      </c>
    </row>
    <row r="114">
      <c r="A114" s="20">
        <f>IFERROR(__xludf.DUMMYFUNCTION("""COMPUTED_VALUE"""),295.0)</f>
        <v>295</v>
      </c>
      <c r="B114" s="20" t="str">
        <f>IFERROR(__xludf.DUMMYFUNCTION("""COMPUTED_VALUE"""),"CALETA-CAR")</f>
        <v>CALETA-CAR</v>
      </c>
      <c r="C114" s="20" t="str">
        <f>IFERROR(__xludf.DUMMYFUNCTION("""COMPUTED_VALUE"""),"REAL SOCIEDAD")</f>
        <v>REAL SOCIEDAD</v>
      </c>
      <c r="D114" s="20">
        <f>IFERROR(__xludf.DUMMYFUNCTION("""COMPUTED_VALUE"""),2.0)</f>
        <v>2</v>
      </c>
    </row>
    <row r="115">
      <c r="A115" s="20">
        <f>IFERROR(__xludf.DUMMYFUNCTION("""COMPUTED_VALUE"""),296.0)</f>
        <v>296</v>
      </c>
      <c r="B115" s="20" t="str">
        <f>IFERROR(__xludf.DUMMYFUNCTION("""COMPUTED_VALUE"""),"SERGIO GÓMEZ")</f>
        <v>SERGIO GÓMEZ</v>
      </c>
      <c r="C115" s="20" t="str">
        <f>IFERROR(__xludf.DUMMYFUNCTION("""COMPUTED_VALUE"""),"REAL SOCIEDAD")</f>
        <v>REAL SOCIEDAD</v>
      </c>
      <c r="D115" s="20">
        <f>IFERROR(__xludf.DUMMYFUNCTION("""COMPUTED_VALUE"""),1.0)</f>
        <v>1</v>
      </c>
    </row>
    <row r="116">
      <c r="A116" s="20">
        <f>IFERROR(__xludf.DUMMYFUNCTION("""COMPUTED_VALUE"""),299.0)</f>
        <v>299</v>
      </c>
      <c r="B116" s="20" t="str">
        <f>IFERROR(__xludf.DUMMYFUNCTION("""COMPUTED_VALUE"""),"PABLO MARIN")</f>
        <v>PABLO MARIN</v>
      </c>
      <c r="C116" s="20" t="str">
        <f>IFERROR(__xludf.DUMMYFUNCTION("""COMPUTED_VALUE"""),"REAL SOCIEDAD")</f>
        <v>REAL SOCIEDAD</v>
      </c>
      <c r="D116" s="20">
        <f>IFERROR(__xludf.DUMMYFUNCTION("""COMPUTED_VALUE"""),1.0)</f>
        <v>1</v>
      </c>
    </row>
    <row r="117">
      <c r="A117" s="20">
        <f>IFERROR(__xludf.DUMMYFUNCTION("""COMPUTED_VALUE"""),302.0)</f>
        <v>302</v>
      </c>
      <c r="B117" s="20" t="str">
        <f>IFERROR(__xludf.DUMMYFUNCTION("""COMPUTED_VALUE"""),"KUBO")</f>
        <v>KUBO</v>
      </c>
      <c r="C117" s="20" t="str">
        <f>IFERROR(__xludf.DUMMYFUNCTION("""COMPUTED_VALUE"""),"REAL SOCIEDAD")</f>
        <v>REAL SOCIEDAD</v>
      </c>
      <c r="D117" s="20">
        <f>IFERROR(__xludf.DUMMYFUNCTION("""COMPUTED_VALUE"""),1.0)</f>
        <v>1</v>
      </c>
    </row>
    <row r="118">
      <c r="A118" s="20">
        <f>IFERROR(__xludf.DUMMYFUNCTION("""COMPUTED_VALUE"""),309.0)</f>
        <v>309</v>
      </c>
      <c r="B118" s="20" t="str">
        <f>IFERROR(__xludf.DUMMYFUNCTION("""COMPUTED_VALUE"""),"NYLAND")</f>
        <v>NYLAND</v>
      </c>
      <c r="C118" s="20" t="str">
        <f>IFERROR(__xludf.DUMMYFUNCTION("""COMPUTED_VALUE"""),"SEVILLA FC")</f>
        <v>SEVILLA FC</v>
      </c>
      <c r="D118" s="20">
        <f>IFERROR(__xludf.DUMMYFUNCTION("""COMPUTED_VALUE"""),1.0)</f>
        <v>1</v>
      </c>
    </row>
    <row r="119">
      <c r="A119" s="20">
        <f>IFERROR(__xludf.DUMMYFUNCTION("""COMPUTED_VALUE"""),312.0)</f>
        <v>312</v>
      </c>
      <c r="B119" s="20" t="str">
        <f>IFERROR(__xludf.DUMMYFUNCTION("""COMPUTED_VALUE"""),"AZPILICUETA")</f>
        <v>AZPILICUETA</v>
      </c>
      <c r="C119" s="20" t="str">
        <f>IFERROR(__xludf.DUMMYFUNCTION("""COMPUTED_VALUE"""),"SEVILLA FC")</f>
        <v>SEVILLA FC</v>
      </c>
      <c r="D119" s="20">
        <f>IFERROR(__xludf.DUMMYFUNCTION("""COMPUTED_VALUE"""),1.0)</f>
        <v>1</v>
      </c>
    </row>
    <row r="120">
      <c r="A120" s="20">
        <f>IFERROR(__xludf.DUMMYFUNCTION("""COMPUTED_VALUE"""),313.0)</f>
        <v>313</v>
      </c>
      <c r="B120" s="20" t="str">
        <f>IFERROR(__xludf.DUMMYFUNCTION("""COMPUTED_VALUE"""),"KIKE SALAS")</f>
        <v>KIKE SALAS</v>
      </c>
      <c r="C120" s="20" t="str">
        <f>IFERROR(__xludf.DUMMYFUNCTION("""COMPUTED_VALUE"""),"SEVILLA FC")</f>
        <v>SEVILLA FC</v>
      </c>
      <c r="D120" s="20">
        <f>IFERROR(__xludf.DUMMYFUNCTION("""COMPUTED_VALUE"""),2.0)</f>
        <v>2</v>
      </c>
    </row>
    <row r="121">
      <c r="A121" s="20">
        <f>IFERROR(__xludf.DUMMYFUNCTION("""COMPUTED_VALUE"""),317.0)</f>
        <v>317</v>
      </c>
      <c r="B121" s="20" t="str">
        <f>IFERROR(__xludf.DUMMYFUNCTION("""COMPUTED_VALUE"""),"AGOUME")</f>
        <v>AGOUME</v>
      </c>
      <c r="C121" s="20" t="str">
        <f>IFERROR(__xludf.DUMMYFUNCTION("""COMPUTED_VALUE"""),"SEVILLA FC")</f>
        <v>SEVILLA FC</v>
      </c>
      <c r="D121" s="20">
        <f>IFERROR(__xludf.DUMMYFUNCTION("""COMPUTED_VALUE"""),1.0)</f>
        <v>1</v>
      </c>
    </row>
    <row r="122">
      <c r="A122" s="20">
        <f>IFERROR(__xludf.DUMMYFUNCTION("""COMPUTED_VALUE"""),321.0)</f>
        <v>321</v>
      </c>
      <c r="B122" s="20" t="str">
        <f>IFERROR(__xludf.DUMMYFUNCTION("""COMPUTED_VALUE"""),"EJUKE")</f>
        <v>EJUKE</v>
      </c>
      <c r="C122" s="20" t="str">
        <f>IFERROR(__xludf.DUMMYFUNCTION("""COMPUTED_VALUE"""),"SEVILLA FC")</f>
        <v>SEVILLA FC</v>
      </c>
      <c r="D122" s="20">
        <f>IFERROR(__xludf.DUMMYFUNCTION("""COMPUTED_VALUE"""),3.0)</f>
        <v>3</v>
      </c>
    </row>
    <row r="123">
      <c r="A123" s="20">
        <f>IFERROR(__xludf.DUMMYFUNCTION("""COMPUTED_VALUE"""),323.0)</f>
        <v>323</v>
      </c>
      <c r="B123" s="20" t="str">
        <f>IFERROR(__xludf.DUMMYFUNCTION("""COMPUTED_VALUE"""),"AKOR ADAMS")</f>
        <v>AKOR ADAMS</v>
      </c>
      <c r="C123" s="20" t="str">
        <f>IFERROR(__xludf.DUMMYFUNCTION("""COMPUTED_VALUE"""),"SEVILLA FC")</f>
        <v>SEVILLA FC</v>
      </c>
      <c r="D123" s="20">
        <f>IFERROR(__xludf.DUMMYFUNCTION("""COMPUTED_VALUE"""),2.0)</f>
        <v>2</v>
      </c>
    </row>
    <row r="124">
      <c r="A124" s="20">
        <f>IFERROR(__xludf.DUMMYFUNCTION("""COMPUTED_VALUE"""),325.0)</f>
        <v>325</v>
      </c>
      <c r="B124" s="20" t="str">
        <f>IFERROR(__xludf.DUMMYFUNCTION("""COMPUTED_VALUE"""),"ESCUDO")</f>
        <v>ESCUDO</v>
      </c>
      <c r="C124" s="20" t="str">
        <f>IFERROR(__xludf.DUMMYFUNCTION("""COMPUTED_VALUE"""),"VALENCIA CF")</f>
        <v>VALENCIA CF</v>
      </c>
      <c r="D124" s="20">
        <f>IFERROR(__xludf.DUMMYFUNCTION("""COMPUTED_VALUE"""),2.0)</f>
        <v>2</v>
      </c>
    </row>
    <row r="125">
      <c r="A125" s="20">
        <f>IFERROR(__xludf.DUMMYFUNCTION("""COMPUTED_VALUE"""),325.0)</f>
        <v>325</v>
      </c>
      <c r="B125" s="20" t="str">
        <f>IFERROR(__xludf.DUMMYFUNCTION("""COMPUTED_VALUE"""),"ESTADIO")</f>
        <v>ESTADIO</v>
      </c>
      <c r="C125" s="20" t="str">
        <f>IFERROR(__xludf.DUMMYFUNCTION("""COMPUTED_VALUE"""),"VALENCIA CF")</f>
        <v>VALENCIA CF</v>
      </c>
      <c r="D125" s="20">
        <f>IFERROR(__xludf.DUMMYFUNCTION("""COMPUTED_VALUE"""),1.0)</f>
        <v>1</v>
      </c>
    </row>
    <row r="126">
      <c r="A126" s="20">
        <f>IFERROR(__xludf.DUMMYFUNCTION("""COMPUTED_VALUE"""),326.0)</f>
        <v>326</v>
      </c>
      <c r="B126" s="20" t="str">
        <f>IFERROR(__xludf.DUMMYFUNCTION("""COMPUTED_VALUE"""),"AGIRREZABALA")</f>
        <v>AGIRREZABALA</v>
      </c>
      <c r="C126" s="20" t="str">
        <f>IFERROR(__xludf.DUMMYFUNCTION("""COMPUTED_VALUE"""),"VALENCIA CF")</f>
        <v>VALENCIA CF</v>
      </c>
      <c r="D126" s="20">
        <f>IFERROR(__xludf.DUMMYFUNCTION("""COMPUTED_VALUE"""),1.0)</f>
        <v>1</v>
      </c>
    </row>
    <row r="127">
      <c r="A127" s="20">
        <f>IFERROR(__xludf.DUMMYFUNCTION("""COMPUTED_VALUE"""),327.0)</f>
        <v>327</v>
      </c>
      <c r="B127" s="20" t="str">
        <f>IFERROR(__xludf.DUMMYFUNCTION("""COMPUTED_VALUE"""),"DIMITRIEVSKI")</f>
        <v>DIMITRIEVSKI</v>
      </c>
      <c r="C127" s="20" t="str">
        <f>IFERROR(__xludf.DUMMYFUNCTION("""COMPUTED_VALUE"""),"VALENCIA CF")</f>
        <v>VALENCIA CF</v>
      </c>
      <c r="D127" s="20">
        <f>IFERROR(__xludf.DUMMYFUNCTION("""COMPUTED_VALUE"""),2.0)</f>
        <v>2</v>
      </c>
    </row>
    <row r="128">
      <c r="A128" s="20">
        <f>IFERROR(__xludf.DUMMYFUNCTION("""COMPUTED_VALUE"""),328.0)</f>
        <v>328</v>
      </c>
      <c r="B128" s="20" t="str">
        <f>IFERROR(__xludf.DUMMYFUNCTION("""COMPUTED_VALUE"""),"FOULQUIER")</f>
        <v>FOULQUIER</v>
      </c>
      <c r="C128" s="20" t="str">
        <f>IFERROR(__xludf.DUMMYFUNCTION("""COMPUTED_VALUE"""),"VALENCIA CF")</f>
        <v>VALENCIA CF</v>
      </c>
      <c r="D128" s="20">
        <f>IFERROR(__xludf.DUMMYFUNCTION("""COMPUTED_VALUE"""),2.0)</f>
        <v>2</v>
      </c>
    </row>
    <row r="129">
      <c r="A129" s="20">
        <f>IFERROR(__xludf.DUMMYFUNCTION("""COMPUTED_VALUE"""),329.0)</f>
        <v>329</v>
      </c>
      <c r="B129" s="20" t="str">
        <f>IFERROR(__xludf.DUMMYFUNCTION("""COMPUTED_VALUE"""),"CORREIA")</f>
        <v>CORREIA</v>
      </c>
      <c r="C129" s="20" t="str">
        <f>IFERROR(__xludf.DUMMYFUNCTION("""COMPUTED_VALUE"""),"VALENCIA CF")</f>
        <v>VALENCIA CF</v>
      </c>
      <c r="D129" s="20">
        <f>IFERROR(__xludf.DUMMYFUNCTION("""COMPUTED_VALUE"""),1.0)</f>
        <v>1</v>
      </c>
    </row>
    <row r="130">
      <c r="A130" s="20">
        <f>IFERROR(__xludf.DUMMYFUNCTION("""COMPUTED_VALUE"""),330.0)</f>
        <v>330</v>
      </c>
      <c r="B130" s="20" t="str">
        <f>IFERROR(__xludf.DUMMYFUNCTION("""COMPUTED_VALUE"""),"TÁRREGA")</f>
        <v>TÁRREGA</v>
      </c>
      <c r="C130" s="20" t="str">
        <f>IFERROR(__xludf.DUMMYFUNCTION("""COMPUTED_VALUE"""),"VALENCIA CF")</f>
        <v>VALENCIA CF</v>
      </c>
      <c r="D130" s="20">
        <f>IFERROR(__xludf.DUMMYFUNCTION("""COMPUTED_VALUE"""),1.0)</f>
        <v>1</v>
      </c>
    </row>
    <row r="131">
      <c r="A131" s="20">
        <f>IFERROR(__xludf.DUMMYFUNCTION("""COMPUTED_VALUE"""),331.0)</f>
        <v>331</v>
      </c>
      <c r="B131" s="20" t="str">
        <f>IFERROR(__xludf.DUMMYFUNCTION("""COMPUTED_VALUE"""),"COPETE")</f>
        <v>COPETE</v>
      </c>
      <c r="C131" s="20" t="str">
        <f>IFERROR(__xludf.DUMMYFUNCTION("""COMPUTED_VALUE"""),"VALENCIA CF")</f>
        <v>VALENCIA CF</v>
      </c>
      <c r="D131" s="20">
        <f>IFERROR(__xludf.DUMMYFUNCTION("""COMPUTED_VALUE"""),2.0)</f>
        <v>2</v>
      </c>
    </row>
    <row r="132">
      <c r="A132" s="20">
        <f>IFERROR(__xludf.DUMMYFUNCTION("""COMPUTED_VALUE"""),332.0)</f>
        <v>332</v>
      </c>
      <c r="B132" s="20" t="str">
        <f>IFERROR(__xludf.DUMMYFUNCTION("""COMPUTED_VALUE"""),"DIAKHABY")</f>
        <v>DIAKHABY</v>
      </c>
      <c r="C132" s="20" t="str">
        <f>IFERROR(__xludf.DUMMYFUNCTION("""COMPUTED_VALUE"""),"VALENCIA CF")</f>
        <v>VALENCIA CF</v>
      </c>
      <c r="D132" s="20">
        <f>IFERROR(__xludf.DUMMYFUNCTION("""COMPUTED_VALUE"""),1.0)</f>
        <v>1</v>
      </c>
    </row>
    <row r="133">
      <c r="A133" s="20">
        <f>IFERROR(__xludf.DUMMYFUNCTION("""COMPUTED_VALUE"""),333.0)</f>
        <v>333</v>
      </c>
      <c r="B133" s="20" t="str">
        <f>IFERROR(__xludf.DUMMYFUNCTION("""COMPUTED_VALUE"""),"GAYÀ")</f>
        <v>GAYÀ</v>
      </c>
      <c r="C133" s="20" t="str">
        <f>IFERROR(__xludf.DUMMYFUNCTION("""COMPUTED_VALUE"""),"VALENCIA CF")</f>
        <v>VALENCIA CF</v>
      </c>
      <c r="D133" s="20">
        <f>IFERROR(__xludf.DUMMYFUNCTION("""COMPUTED_VALUE"""),1.0)</f>
        <v>1</v>
      </c>
    </row>
    <row r="134">
      <c r="A134" s="20">
        <f>IFERROR(__xludf.DUMMYFUNCTION("""COMPUTED_VALUE"""),337.0)</f>
        <v>337</v>
      </c>
      <c r="B134" s="20" t="str">
        <f>IFERROR(__xludf.DUMMYFUNCTION("""COMPUTED_VALUE"""),"ANDRÉ ALMEIDA")</f>
        <v>ANDRÉ ALMEIDA</v>
      </c>
      <c r="C134" s="20" t="str">
        <f>IFERROR(__xludf.DUMMYFUNCTION("""COMPUTED_VALUE"""),"VALENCIA CF")</f>
        <v>VALENCIA CF</v>
      </c>
      <c r="D134" s="20">
        <f>IFERROR(__xludf.DUMMYFUNCTION("""COMPUTED_VALUE"""),1.0)</f>
        <v>1</v>
      </c>
    </row>
    <row r="135">
      <c r="A135" s="20">
        <f>IFERROR(__xludf.DUMMYFUNCTION("""COMPUTED_VALUE"""),338.0)</f>
        <v>338</v>
      </c>
      <c r="B135" s="20" t="str">
        <f>IFERROR(__xludf.DUMMYFUNCTION("""COMPUTED_VALUE"""),"LUIS RIOJA")</f>
        <v>LUIS RIOJA</v>
      </c>
      <c r="C135" s="20" t="str">
        <f>IFERROR(__xludf.DUMMYFUNCTION("""COMPUTED_VALUE"""),"VALENCIA CF")</f>
        <v>VALENCIA CF</v>
      </c>
      <c r="D135" s="20">
        <f>IFERROR(__xludf.DUMMYFUNCTION("""COMPUTED_VALUE"""),1.0)</f>
        <v>1</v>
      </c>
    </row>
    <row r="136">
      <c r="A136" s="20">
        <f>IFERROR(__xludf.DUMMYFUNCTION("""COMPUTED_VALUE"""),343.0)</f>
        <v>343</v>
      </c>
      <c r="B136" s="20" t="str">
        <f>IFERROR(__xludf.DUMMYFUNCTION("""COMPUTED_VALUE"""),"ESCUDO")</f>
        <v>ESCUDO</v>
      </c>
      <c r="C136" s="20" t="str">
        <f>IFERROR(__xludf.DUMMYFUNCTION("""COMPUTED_VALUE"""),"VILLARREAL CF")</f>
        <v>VILLARREAL CF</v>
      </c>
      <c r="D136" s="20">
        <f>IFERROR(__xludf.DUMMYFUNCTION("""COMPUTED_VALUE"""),2.0)</f>
        <v>2</v>
      </c>
    </row>
    <row r="137">
      <c r="A137" s="20">
        <f>IFERROR(__xludf.DUMMYFUNCTION("""COMPUTED_VALUE"""),343.0)</f>
        <v>343</v>
      </c>
      <c r="B137" s="20" t="str">
        <f>IFERROR(__xludf.DUMMYFUNCTION("""COMPUTED_VALUE"""),"ESTADIO")</f>
        <v>ESTADIO</v>
      </c>
      <c r="C137" s="20" t="str">
        <f>IFERROR(__xludf.DUMMYFUNCTION("""COMPUTED_VALUE"""),"VILLARREAL CF")</f>
        <v>VILLARREAL CF</v>
      </c>
      <c r="D137" s="20">
        <f>IFERROR(__xludf.DUMMYFUNCTION("""COMPUTED_VALUE"""),2.0)</f>
        <v>2</v>
      </c>
    </row>
    <row r="138">
      <c r="A138" s="20">
        <f>IFERROR(__xludf.DUMMYFUNCTION("""COMPUTED_VALUE"""),344.0)</f>
        <v>344</v>
      </c>
      <c r="B138" s="20" t="str">
        <f>IFERROR(__xludf.DUMMYFUNCTION("""COMPUTED_VALUE"""),"LUIZ JÚNIOR")</f>
        <v>LUIZ JÚNIOR</v>
      </c>
      <c r="C138" s="20" t="str">
        <f>IFERROR(__xludf.DUMMYFUNCTION("""COMPUTED_VALUE"""),"VILLARREAL CF")</f>
        <v>VILLARREAL CF</v>
      </c>
      <c r="D138" s="20">
        <f>IFERROR(__xludf.DUMMYFUNCTION("""COMPUTED_VALUE"""),1.0)</f>
        <v>1</v>
      </c>
    </row>
    <row r="139">
      <c r="A139" s="20">
        <f>IFERROR(__xludf.DUMMYFUNCTION("""COMPUTED_VALUE"""),350.0)</f>
        <v>350</v>
      </c>
      <c r="B139" s="20" t="str">
        <f>IFERROR(__xludf.DUMMYFUNCTION("""COMPUTED_VALUE"""),"SERGI CARDONA")</f>
        <v>SERGI CARDONA</v>
      </c>
      <c r="C139" s="20" t="str">
        <f>IFERROR(__xludf.DUMMYFUNCTION("""COMPUTED_VALUE"""),"VILLARREAL CF")</f>
        <v>VILLARREAL CF</v>
      </c>
      <c r="D139" s="20">
        <f>IFERROR(__xludf.DUMMYFUNCTION("""COMPUTED_VALUE"""),2.0)</f>
        <v>2</v>
      </c>
    </row>
    <row r="140">
      <c r="A140" s="20">
        <f>IFERROR(__xludf.DUMMYFUNCTION("""COMPUTED_VALUE"""),351.0)</f>
        <v>351</v>
      </c>
      <c r="B140" s="20" t="str">
        <f>IFERROR(__xludf.DUMMYFUNCTION("""COMPUTED_VALUE"""),"SANTI COMESAÑA")</f>
        <v>SANTI COMESAÑA</v>
      </c>
      <c r="C140" s="20" t="str">
        <f>IFERROR(__xludf.DUMMYFUNCTION("""COMPUTED_VALUE"""),"VILLARREAL CF")</f>
        <v>VILLARREAL CF</v>
      </c>
      <c r="D140" s="20">
        <f>IFERROR(__xludf.DUMMYFUNCTION("""COMPUTED_VALUE"""),1.0)</f>
        <v>1</v>
      </c>
    </row>
    <row r="141">
      <c r="A141" s="20">
        <f>IFERROR(__xludf.DUMMYFUNCTION("""COMPUTED_VALUE"""),352.0)</f>
        <v>352</v>
      </c>
      <c r="B141" s="20" t="str">
        <f>IFERROR(__xludf.DUMMYFUNCTION("""COMPUTED_VALUE"""),"PAPE GUEYE")</f>
        <v>PAPE GUEYE</v>
      </c>
      <c r="C141" s="20" t="str">
        <f>IFERROR(__xludf.DUMMYFUNCTION("""COMPUTED_VALUE"""),"VILLARREAL CF")</f>
        <v>VILLARREAL CF</v>
      </c>
      <c r="D141" s="20">
        <f>IFERROR(__xludf.DUMMYFUNCTION("""COMPUTED_VALUE"""),1.0)</f>
        <v>1</v>
      </c>
    </row>
    <row r="142">
      <c r="A142" s="20">
        <f>IFERROR(__xludf.DUMMYFUNCTION("""COMPUTED_VALUE"""),355.0)</f>
        <v>355</v>
      </c>
      <c r="B142" s="20" t="str">
        <f>IFERROR(__xludf.DUMMYFUNCTION("""COMPUTED_VALUE"""),"MOLEIRO")</f>
        <v>MOLEIRO</v>
      </c>
      <c r="C142" s="20" t="str">
        <f>IFERROR(__xludf.DUMMYFUNCTION("""COMPUTED_VALUE"""),"VILLARREAL CF")</f>
        <v>VILLARREAL CF</v>
      </c>
      <c r="D142" s="20">
        <f>IFERROR(__xludf.DUMMYFUNCTION("""COMPUTED_VALUE"""),2.0)</f>
        <v>2</v>
      </c>
    </row>
    <row r="143">
      <c r="A143" s="20">
        <f>IFERROR(__xludf.DUMMYFUNCTION("""COMPUTED_VALUE"""),361.0)</f>
        <v>361</v>
      </c>
      <c r="B143" s="20" t="str">
        <f>IFERROR(__xludf.DUMMYFUNCTION("""COMPUTED_VALUE"""),"D. ALAVÉS")</f>
        <v>D. ALAVÉS</v>
      </c>
      <c r="C143" s="20" t="str">
        <f>IFERROR(__xludf.DUMMYFUNCTION("""COMPUTED_VALUE"""),"¡VAMOS!")</f>
        <v>¡VAMOS!</v>
      </c>
      <c r="D143" s="20">
        <f>IFERROR(__xludf.DUMMYFUNCTION("""COMPUTED_VALUE"""),2.0)</f>
        <v>2</v>
      </c>
    </row>
    <row r="144">
      <c r="A144" s="20">
        <f>IFERROR(__xludf.DUMMYFUNCTION("""COMPUTED_VALUE"""),366.0)</f>
        <v>366</v>
      </c>
      <c r="B144" s="20" t="str">
        <f>IFERROR(__xludf.DUMMYFUNCTION("""COMPUTED_VALUE"""),"RC CELTA")</f>
        <v>RC CELTA</v>
      </c>
      <c r="C144" s="20" t="str">
        <f>IFERROR(__xludf.DUMMYFUNCTION("""COMPUTED_VALUE"""),"¡VAMOS!")</f>
        <v>¡VAMOS!</v>
      </c>
      <c r="D144" s="20">
        <f>IFERROR(__xludf.DUMMYFUNCTION("""COMPUTED_VALUE"""),1.0)</f>
        <v>1</v>
      </c>
    </row>
    <row r="145">
      <c r="A145" s="20">
        <f>IFERROR(__xludf.DUMMYFUNCTION("""COMPUTED_VALUE"""),369.0)</f>
        <v>369</v>
      </c>
      <c r="B145" s="20" t="str">
        <f>IFERROR(__xludf.DUMMYFUNCTION("""COMPUTED_VALUE"""),"GETAFE CF")</f>
        <v>GETAFE CF</v>
      </c>
      <c r="C145" s="20" t="str">
        <f>IFERROR(__xludf.DUMMYFUNCTION("""COMPUTED_VALUE"""),"¡VAMOS!")</f>
        <v>¡VAMOS!</v>
      </c>
      <c r="D145" s="20">
        <f>IFERROR(__xludf.DUMMYFUNCTION("""COMPUTED_VALUE"""),1.0)</f>
        <v>1</v>
      </c>
    </row>
    <row r="146">
      <c r="A146" s="20">
        <f>IFERROR(__xludf.DUMMYFUNCTION("""COMPUTED_VALUE"""),371.0)</f>
        <v>371</v>
      </c>
      <c r="B146" s="20" t="str">
        <f>IFERROR(__xludf.DUMMYFUNCTION("""COMPUTED_VALUE"""),"LEVANTE UD")</f>
        <v>LEVANTE UD</v>
      </c>
      <c r="C146" s="20" t="str">
        <f>IFERROR(__xludf.DUMMYFUNCTION("""COMPUTED_VALUE"""),"¡VAMOS!")</f>
        <v>¡VAMOS!</v>
      </c>
      <c r="D146" s="20">
        <f>IFERROR(__xludf.DUMMYFUNCTION("""COMPUTED_VALUE"""),1.0)</f>
        <v>1</v>
      </c>
    </row>
    <row r="147">
      <c r="A147" s="20">
        <f>IFERROR(__xludf.DUMMYFUNCTION("""COMPUTED_VALUE"""),372.0)</f>
        <v>372</v>
      </c>
      <c r="B147" s="20" t="str">
        <f>IFERROR(__xludf.DUMMYFUNCTION("""COMPUTED_VALUE"""),"REAL MADRID")</f>
        <v>REAL MADRID</v>
      </c>
      <c r="C147" s="20" t="str">
        <f>IFERROR(__xludf.DUMMYFUNCTION("""COMPUTED_VALUE"""),"¡VAMOS!")</f>
        <v>¡VAMOS!</v>
      </c>
      <c r="D147" s="20">
        <f>IFERROR(__xludf.DUMMYFUNCTION("""COMPUTED_VALUE"""),1.0)</f>
        <v>1</v>
      </c>
    </row>
    <row r="148">
      <c r="A148" s="20">
        <f>IFERROR(__xludf.DUMMYFUNCTION("""COMPUTED_VALUE"""),376.0)</f>
        <v>376</v>
      </c>
      <c r="B148" s="20" t="str">
        <f>IFERROR(__xludf.DUMMYFUNCTION("""COMPUTED_VALUE"""),"RAYO VALLECANO")</f>
        <v>RAYO VALLECANO</v>
      </c>
      <c r="C148" s="20" t="str">
        <f>IFERROR(__xludf.DUMMYFUNCTION("""COMPUTED_VALUE"""),"¡VAMOS!")</f>
        <v>¡VAMOS!</v>
      </c>
      <c r="D148" s="20">
        <f>IFERROR(__xludf.DUMMYFUNCTION("""COMPUTED_VALUE"""),1.0)</f>
        <v>1</v>
      </c>
    </row>
    <row r="149">
      <c r="A149" s="20">
        <f>IFERROR(__xludf.DUMMYFUNCTION("""COMPUTED_VALUE"""),383.0)</f>
        <v>383</v>
      </c>
      <c r="B149" s="20" t="str">
        <f>IFERROR(__xludf.DUMMYFUNCTION("""COMPUTED_VALUE"""),"DAVID SORIA")</f>
        <v>DAVID SORIA</v>
      </c>
      <c r="C149" s="20" t="str">
        <f>IFERROR(__xludf.DUMMYFUNCTION("""COMPUTED_VALUE"""),"GETAFE CF")</f>
        <v>GETAFE CF</v>
      </c>
      <c r="D149" s="20">
        <f>IFERROR(__xludf.DUMMYFUNCTION("""COMPUTED_VALUE"""),1.0)</f>
        <v>1</v>
      </c>
    </row>
    <row r="150">
      <c r="A150" s="20">
        <f>IFERROR(__xludf.DUMMYFUNCTION("""COMPUTED_VALUE"""),387.0)</f>
        <v>387</v>
      </c>
      <c r="B150" s="20" t="str">
        <f>IFERROR(__xludf.DUMMYFUNCTION("""COMPUTED_VALUE"""),"AGIRREZABALA")</f>
        <v>AGIRREZABALA</v>
      </c>
      <c r="C150" s="20" t="str">
        <f>IFERROR(__xludf.DUMMYFUNCTION("""COMPUTED_VALUE"""),"VALENCIA CF")</f>
        <v>VALENCIA CF</v>
      </c>
      <c r="D150" s="20">
        <f>IFERROR(__xludf.DUMMYFUNCTION("""COMPUTED_VALUE"""),3.0)</f>
        <v>3</v>
      </c>
    </row>
    <row r="151">
      <c r="A151" s="20">
        <f>IFERROR(__xludf.DUMMYFUNCTION("""COMPUTED_VALUE"""),392.0)</f>
        <v>392</v>
      </c>
      <c r="B151" s="20" t="str">
        <f>IFERROR(__xludf.DUMMYFUNCTION("""COMPUTED_VALUE"""),"CABRERA")</f>
        <v>CABRERA</v>
      </c>
      <c r="C151" s="20" t="str">
        <f>IFERROR(__xludf.DUMMYFUNCTION("""COMPUTED_VALUE"""),"RCD ESPANYOL")</f>
        <v>RCD ESPANYOL</v>
      </c>
      <c r="D151" s="20">
        <f>IFERROR(__xludf.DUMMYFUNCTION("""COMPUTED_VALUE"""),1.0)</f>
        <v>1</v>
      </c>
    </row>
    <row r="152">
      <c r="A152" s="20">
        <f>IFERROR(__xludf.DUMMYFUNCTION("""COMPUTED_VALUE"""),396.0)</f>
        <v>396</v>
      </c>
      <c r="B152" s="20" t="str">
        <f>IFERROR(__xludf.DUMMYFUNCTION("""COMPUTED_VALUE"""),"MOURIÑO")</f>
        <v>MOURIÑO</v>
      </c>
      <c r="C152" s="20" t="str">
        <f>IFERROR(__xludf.DUMMYFUNCTION("""COMPUTED_VALUE"""),"VILLARREAL CF")</f>
        <v>VILLARREAL CF</v>
      </c>
      <c r="D152" s="20">
        <f>IFERROR(__xludf.DUMMYFUNCTION("""COMPUTED_VALUE"""),1.0)</f>
        <v>1</v>
      </c>
    </row>
    <row r="153">
      <c r="A153" s="20">
        <f>IFERROR(__xludf.DUMMYFUNCTION("""COMPUTED_VALUE"""),398.0)</f>
        <v>398</v>
      </c>
      <c r="B153" s="20" t="str">
        <f>IFERROR(__xludf.DUMMYFUNCTION("""COMPUTED_VALUE"""),"DRO")</f>
        <v>DRO</v>
      </c>
      <c r="C153" s="20" t="str">
        <f>IFERROR(__xludf.DUMMYFUNCTION("""COMPUTED_VALUE"""),"FC BARCELONA")</f>
        <v>FC BARCELONA</v>
      </c>
      <c r="D153" s="20">
        <f>IFERROR(__xludf.DUMMYFUNCTION("""COMPUTED_VALUE"""),1.0)</f>
        <v>1</v>
      </c>
    </row>
    <row r="154">
      <c r="A154" s="20">
        <f>IFERROR(__xludf.DUMMYFUNCTION("""COMPUTED_VALUE"""),399.0)</f>
        <v>399</v>
      </c>
      <c r="B154" s="20" t="str">
        <f>IFERROR(__xludf.DUMMYFUNCTION("""COMPUTED_VALUE"""),"VALENTÍN GÓMEZ")</f>
        <v>VALENTÍN GÓMEZ</v>
      </c>
      <c r="C154" s="20" t="str">
        <f>IFERROR(__xludf.DUMMYFUNCTION("""COMPUTED_VALUE"""),"REAL BETIS")</f>
        <v>REAL BETIS</v>
      </c>
      <c r="D154" s="20">
        <f>IFERROR(__xludf.DUMMYFUNCTION("""COMPUTED_VALUE"""),1.0)</f>
        <v>1</v>
      </c>
    </row>
    <row r="155">
      <c r="A155" s="20">
        <f>IFERROR(__xludf.DUMMYFUNCTION("""COMPUTED_VALUE"""),401.0)</f>
        <v>401</v>
      </c>
      <c r="B155" s="20" t="str">
        <f>IFERROR(__xludf.DUMMYFUNCTION("""COMPUTED_VALUE"""),"RODRI MENDOZA")</f>
        <v>RODRI MENDOZA</v>
      </c>
      <c r="C155" s="20" t="str">
        <f>IFERROR(__xludf.DUMMYFUNCTION("""COMPUTED_VALUE"""),"ELCHE CF")</f>
        <v>ELCHE CF</v>
      </c>
      <c r="D155" s="20">
        <f>IFERROR(__xludf.DUMMYFUNCTION("""COMPUTED_VALUE"""),1.0)</f>
        <v>1</v>
      </c>
    </row>
    <row r="156">
      <c r="A156" s="20">
        <f>IFERROR(__xludf.DUMMYFUNCTION("""COMPUTED_VALUE"""),402.0)</f>
        <v>402</v>
      </c>
      <c r="B156" s="20" t="str">
        <f>IFERROR(__xludf.DUMMYFUNCTION("""COMPUTED_VALUE"""),"RIEDEL")</f>
        <v>RIEDEL</v>
      </c>
      <c r="C156" s="20" t="str">
        <f>IFERROR(__xludf.DUMMYFUNCTION("""COMPUTED_VALUE"""),"RCD ESPANYOL")</f>
        <v>RCD ESPANYOL</v>
      </c>
      <c r="D156" s="20">
        <f>IFERROR(__xludf.DUMMYFUNCTION("""COMPUTED_VALUE"""),1.0)</f>
        <v>1</v>
      </c>
    </row>
    <row r="157">
      <c r="A157" s="20">
        <f>IFERROR(__xludf.DUMMYFUNCTION("""COMPUTED_VALUE"""),403.0)</f>
        <v>403</v>
      </c>
      <c r="B157" s="20" t="str">
        <f>IFERROR(__xludf.DUMMYFUNCTION("""COMPUTED_VALUE"""),"DAVINCHI")</f>
        <v>DAVINCHI</v>
      </c>
      <c r="C157" s="20" t="str">
        <f>IFERROR(__xludf.DUMMYFUNCTION("""COMPUTED_VALUE"""),"GETAFE CF")</f>
        <v>GETAFE CF</v>
      </c>
      <c r="D157" s="20">
        <f>IFERROR(__xludf.DUMMYFUNCTION("""COMPUTED_VALUE"""),1.0)</f>
        <v>1</v>
      </c>
    </row>
    <row r="158">
      <c r="A158" s="20">
        <f>IFERROR(__xludf.DUMMYFUNCTION("""COMPUTED_VALUE"""),404.0)</f>
        <v>404</v>
      </c>
      <c r="B158" s="20" t="str">
        <f>IFERROR(__xludf.DUMMYFUNCTION("""COMPUTED_VALUE"""),"LISO")</f>
        <v>LISO</v>
      </c>
      <c r="C158" s="20" t="str">
        <f>IFERROR(__xludf.DUMMYFUNCTION("""COMPUTED_VALUE"""),"GETAFE CF")</f>
        <v>GETAFE CF</v>
      </c>
      <c r="D158" s="20">
        <f>IFERROR(__xludf.DUMMYFUNCTION("""COMPUTED_VALUE"""),1.0)</f>
        <v>1</v>
      </c>
    </row>
    <row r="159">
      <c r="A159" s="20">
        <f>IFERROR(__xludf.DUMMYFUNCTION("""COMPUTED_VALUE"""),407.0)</f>
        <v>407</v>
      </c>
      <c r="B159" s="20" t="str">
        <f>IFERROR(__xludf.DUMMYFUNCTION("""COMPUTED_VALUE"""),"CARLOS ÁLVAREZ")</f>
        <v>CARLOS ÁLVAREZ</v>
      </c>
      <c r="C159" s="20" t="str">
        <f>IFERROR(__xludf.DUMMYFUNCTION("""COMPUTED_VALUE"""),"LEVANTE UD")</f>
        <v>LEVANTE UD</v>
      </c>
      <c r="D159" s="20">
        <f>IFERROR(__xludf.DUMMYFUNCTION("""COMPUTED_VALUE"""),1.0)</f>
        <v>1</v>
      </c>
    </row>
    <row r="160">
      <c r="A160" s="20">
        <f>IFERROR(__xludf.DUMMYFUNCTION("""COMPUTED_VALUE"""),408.0)</f>
        <v>408</v>
      </c>
      <c r="B160" s="20" t="str">
        <f>IFERROR(__xludf.DUMMYFUNCTION("""COMPUTED_VALUE"""),"ETTA EYONG")</f>
        <v>ETTA EYONG</v>
      </c>
      <c r="C160" s="20" t="str">
        <f>IFERROR(__xludf.DUMMYFUNCTION("""COMPUTED_VALUE"""),"LEVANTE UD")</f>
        <v>LEVANTE UD</v>
      </c>
      <c r="D160" s="20">
        <f>IFERROR(__xludf.DUMMYFUNCTION("""COMPUTED_VALUE"""),1.0)</f>
        <v>1</v>
      </c>
    </row>
    <row r="161">
      <c r="A161" s="20">
        <f>IFERROR(__xludf.DUMMYFUNCTION("""COMPUTED_VALUE"""),409.0)</f>
        <v>409</v>
      </c>
      <c r="B161" s="20" t="str">
        <f>IFERROR(__xludf.DUMMYFUNCTION("""COMPUTED_VALUE"""),"FRAN GONZÁLEZ")</f>
        <v>FRAN GONZÁLEZ</v>
      </c>
      <c r="C161" s="20" t="str">
        <f>IFERROR(__xludf.DUMMYFUNCTION("""COMPUTED_VALUE"""),"REAL MADRID")</f>
        <v>REAL MADRID</v>
      </c>
      <c r="D161" s="20">
        <f>IFERROR(__xludf.DUMMYFUNCTION("""COMPUTED_VALUE"""),1.0)</f>
        <v>1</v>
      </c>
    </row>
    <row r="162">
      <c r="A162" s="20">
        <f>IFERROR(__xludf.DUMMYFUNCTION("""COMPUTED_VALUE"""),413.0)</f>
        <v>413</v>
      </c>
      <c r="B162" s="20" t="str">
        <f>IFERROR(__xludf.DUMMYFUNCTION("""COMPUTED_VALUE"""),"VÍCTOR MUÑOZ")</f>
        <v>VÍCTOR MUÑOZ</v>
      </c>
      <c r="C162" s="20" t="str">
        <f>IFERROR(__xludf.DUMMYFUNCTION("""COMPUTED_VALUE"""),"CA OSASUNA")</f>
        <v>CA OSASUNA</v>
      </c>
      <c r="D162" s="20">
        <f>IFERROR(__xludf.DUMMYFUNCTION("""COMPUTED_VALUE"""),1.0)</f>
        <v>1</v>
      </c>
    </row>
    <row r="163">
      <c r="A163" s="20">
        <f>IFERROR(__xludf.DUMMYFUNCTION("""COMPUTED_VALUE"""),415.0)</f>
        <v>415</v>
      </c>
      <c r="B163" s="20" t="str">
        <f>IFERROR(__xludf.DUMMYFUNCTION("""COMPUTED_VALUE"""),"BARRIOS")</f>
        <v>BARRIOS</v>
      </c>
      <c r="C163" s="20" t="str">
        <f>IFERROR(__xludf.DUMMYFUNCTION("""COMPUTED_VALUE"""),"ATLÉTICO DE MADRID")</f>
        <v>ATLÉTICO DE MADRID</v>
      </c>
      <c r="D163" s="20">
        <f>IFERROR(__xludf.DUMMYFUNCTION("""COMPUTED_VALUE"""),2.0)</f>
        <v>2</v>
      </c>
    </row>
    <row r="164">
      <c r="A164" s="20">
        <f>IFERROR(__xludf.DUMMYFUNCTION("""COMPUTED_VALUE"""),416.0)</f>
        <v>416</v>
      </c>
      <c r="B164" s="20" t="str">
        <f>IFERROR(__xludf.DUMMYFUNCTION("""COMPUTED_VALUE"""),"SOTELO")</f>
        <v>SOTELO</v>
      </c>
      <c r="C164" s="20" t="str">
        <f>IFERROR(__xludf.DUMMYFUNCTION("""COMPUTED_VALUE"""),"RC CELTA")</f>
        <v>RC CELTA</v>
      </c>
      <c r="D164" s="20">
        <f>IFERROR(__xludf.DUMMYFUNCTION("""COMPUTED_VALUE"""),2.0)</f>
        <v>2</v>
      </c>
    </row>
    <row r="165">
      <c r="A165" s="20">
        <f>IFERROR(__xludf.DUMMYFUNCTION("""COMPUTED_VALUE"""),419.0)</f>
        <v>419</v>
      </c>
      <c r="B165" s="20" t="str">
        <f>IFERROR(__xludf.DUMMYFUNCTION("""COMPUTED_VALUE"""),"MILLA")</f>
        <v>MILLA</v>
      </c>
      <c r="C165" s="20" t="str">
        <f>IFERROR(__xludf.DUMMYFUNCTION("""COMPUTED_VALUE"""),"GETAFE CF")</f>
        <v>GETAFE CF</v>
      </c>
      <c r="D165" s="20">
        <f>IFERROR(__xludf.DUMMYFUNCTION("""COMPUTED_VALUE"""),1.0)</f>
        <v>1</v>
      </c>
    </row>
    <row r="166">
      <c r="A166" s="20">
        <f>IFERROR(__xludf.DUMMYFUNCTION("""COMPUTED_VALUE"""),421.0)</f>
        <v>421</v>
      </c>
      <c r="B166" s="20" t="str">
        <f>IFERROR(__xludf.DUMMYFUNCTION("""COMPUTED_VALUE"""),"AIMAR OROZ")</f>
        <v>AIMAR OROZ</v>
      </c>
      <c r="C166" s="20" t="str">
        <f>IFERROR(__xludf.DUMMYFUNCTION("""COMPUTED_VALUE"""),"CA OSASUNA")</f>
        <v>CA OSASUNA</v>
      </c>
      <c r="D166" s="20">
        <f>IFERROR(__xludf.DUMMYFUNCTION("""COMPUTED_VALUE"""),1.0)</f>
        <v>1</v>
      </c>
    </row>
    <row r="167">
      <c r="A167" s="20">
        <f>IFERROR(__xludf.DUMMYFUNCTION("""COMPUTED_VALUE"""),422.0)</f>
        <v>422</v>
      </c>
      <c r="B167" s="20" t="str">
        <f>IFERROR(__xludf.DUMMYFUNCTION("""COMPUTED_VALUE"""),"CAZORLA")</f>
        <v>CAZORLA</v>
      </c>
      <c r="C167" s="20" t="str">
        <f>IFERROR(__xludf.DUMMYFUNCTION("""COMPUTED_VALUE"""),"REAL OVIEDO")</f>
        <v>REAL OVIEDO</v>
      </c>
      <c r="D167" s="20">
        <f>IFERROR(__xludf.DUMMYFUNCTION("""COMPUTED_VALUE"""),1.0)</f>
        <v>1</v>
      </c>
    </row>
    <row r="168">
      <c r="A168" s="20">
        <f>IFERROR(__xludf.DUMMYFUNCTION("""COMPUTED_VALUE"""),439.0)</f>
        <v>439</v>
      </c>
      <c r="B168" s="20" t="str">
        <f>IFERROR(__xludf.DUMMYFUNCTION("""COMPUTED_VALUE"""),"ALEXIS SÁNCHEZ")</f>
        <v>ALEXIS SÁNCHEZ</v>
      </c>
      <c r="C168" s="20" t="str">
        <f>IFERROR(__xludf.DUMMYFUNCTION("""COMPUTED_VALUE"""),"SEVILLA FC")</f>
        <v>SEVILLA FC</v>
      </c>
      <c r="D168" s="20">
        <f>IFERROR(__xludf.DUMMYFUNCTION("""COMPUTED_VALUE"""),1.0)</f>
        <v>1</v>
      </c>
    </row>
    <row r="169">
      <c r="A169" s="20">
        <f>IFERROR(__xludf.DUMMYFUNCTION("""COMPUTED_VALUE"""),445.0)</f>
        <v>445</v>
      </c>
      <c r="B169" s="20" t="str">
        <f>IFERROR(__xludf.DUMMYFUNCTION("""COMPUTED_VALUE"""),"MARCOS LLORENTE")</f>
        <v>MARCOS LLORENTE</v>
      </c>
      <c r="C169" s="20" t="str">
        <f>IFERROR(__xludf.DUMMYFUNCTION("""COMPUTED_VALUE"""),"ATLÉTICO DE MADRID")</f>
        <v>ATLÉTICO DE MADRID</v>
      </c>
      <c r="D169" s="20">
        <f>IFERROR(__xludf.DUMMYFUNCTION("""COMPUTED_VALUE"""),1.0)</f>
        <v>1</v>
      </c>
    </row>
    <row r="170">
      <c r="A170" s="20">
        <f>IFERROR(__xludf.DUMMYFUNCTION("""COMPUTED_VALUE"""),448.0)</f>
        <v>448</v>
      </c>
      <c r="B170" s="20" t="str">
        <f>IFERROR(__xludf.DUMMYFUNCTION("""COMPUTED_VALUE"""),"GRIEZMANN")</f>
        <v>GRIEZMANN</v>
      </c>
      <c r="C170" s="20" t="str">
        <f>IFERROR(__xludf.DUMMYFUNCTION("""COMPUTED_VALUE"""),"ATLÉTICO DE MADRID")</f>
        <v>ATLÉTICO DE MADRID</v>
      </c>
      <c r="D170" s="20">
        <f>IFERROR(__xludf.DUMMYFUNCTION("""COMPUTED_VALUE"""),1.0)</f>
        <v>1</v>
      </c>
    </row>
    <row r="171">
      <c r="A171" s="20">
        <f>IFERROR(__xludf.DUMMYFUNCTION("""COMPUTED_VALUE"""),452.0)</f>
        <v>452</v>
      </c>
      <c r="B171" s="20" t="str">
        <f>IFERROR(__xludf.DUMMYFUNCTION("""COMPUTED_VALUE"""),"LEWANDOWSKI")</f>
        <v>LEWANDOWSKI</v>
      </c>
      <c r="C171" s="20" t="str">
        <f>IFERROR(__xludf.DUMMYFUNCTION("""COMPUTED_VALUE"""),"FC BARCELONA")</f>
        <v>FC BARCELONA</v>
      </c>
      <c r="D171" s="20">
        <f>IFERROR(__xludf.DUMMYFUNCTION("""COMPUTED_VALUE"""),1.0)</f>
        <v>1</v>
      </c>
    </row>
    <row r="172">
      <c r="A172" s="20">
        <f>IFERROR(__xludf.DUMMYFUNCTION("""COMPUTED_VALUE"""),454.0)</f>
        <v>454</v>
      </c>
      <c r="B172" s="20" t="str">
        <f>IFERROR(__xludf.DUMMYFUNCTION("""COMPUTED_VALUE"""),"ISCO")</f>
        <v>ISCO</v>
      </c>
      <c r="C172" s="20" t="str">
        <f>IFERROR(__xludf.DUMMYFUNCTION("""COMPUTED_VALUE"""),"REAL BETIS")</f>
        <v>REAL BETIS</v>
      </c>
      <c r="D172" s="20">
        <f>IFERROR(__xludf.DUMMYFUNCTION("""COMPUTED_VALUE"""),1.0)</f>
        <v>1</v>
      </c>
    </row>
    <row r="173">
      <c r="A173" s="20">
        <f>IFERROR(__xludf.DUMMYFUNCTION("""COMPUTED_VALUE"""),458.0)</f>
        <v>458</v>
      </c>
      <c r="B173" s="20" t="str">
        <f>IFERROR(__xludf.DUMMYFUNCTION("""COMPUTED_VALUE"""),"CARRERAS")</f>
        <v>CARRERAS</v>
      </c>
      <c r="C173" s="20" t="str">
        <f>IFERROR(__xludf.DUMMYFUNCTION("""COMPUTED_VALUE"""),"REAL MADRID")</f>
        <v>REAL MADRID</v>
      </c>
      <c r="D173" s="20">
        <f>IFERROR(__xludf.DUMMYFUNCTION("""COMPUTED_VALUE"""),1.0)</f>
        <v>1</v>
      </c>
    </row>
    <row r="174">
      <c r="A174" s="20">
        <f>IFERROR(__xludf.DUMMYFUNCTION("""COMPUTED_VALUE"""),462.0)</f>
        <v>462</v>
      </c>
      <c r="B174" s="20" t="str">
        <f>IFERROR(__xludf.DUMMYFUNCTION("""COMPUTED_VALUE"""),"ISI")</f>
        <v>ISI</v>
      </c>
      <c r="C174" s="20" t="str">
        <f>IFERROR(__xludf.DUMMYFUNCTION("""COMPUTED_VALUE"""),"RAYO VALLECANO")</f>
        <v>RAYO VALLECANO</v>
      </c>
      <c r="D174" s="20">
        <f>IFERROR(__xludf.DUMMYFUNCTION("""COMPUTED_VALUE"""),1.0)</f>
        <v>1</v>
      </c>
    </row>
    <row r="175">
      <c r="A175" s="20">
        <f>IFERROR(__xludf.DUMMYFUNCTION("""COMPUTED_VALUE"""),469.0)</f>
        <v>469</v>
      </c>
      <c r="B175" s="20" t="str">
        <f>IFERROR(__xludf.DUMMYFUNCTION("""COMPUTED_VALUE"""),"NICO WILLIAMS")</f>
        <v>NICO WILLIAMS</v>
      </c>
      <c r="C175" s="20" t="str">
        <f>IFERROR(__xludf.DUMMYFUNCTION("""COMPUTED_VALUE"""),"BALÓN DE ORO (ATHLETIC)")</f>
        <v>BALÓN DE ORO (ATHLETIC)</v>
      </c>
      <c r="D175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 t="s">
        <v>20</v>
      </c>
    </row>
    <row r="3">
      <c r="A3" s="21">
        <v>3.0</v>
      </c>
      <c r="B3" s="21" t="s">
        <v>22</v>
      </c>
      <c r="C3" s="21" t="s">
        <v>19</v>
      </c>
      <c r="D3" s="21" t="s">
        <v>20</v>
      </c>
      <c r="E3" s="22">
        <v>1.0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 t="s">
        <v>20</v>
      </c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  <c r="E7" s="22">
        <v>1.0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 t="s">
        <v>20</v>
      </c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2.0</v>
      </c>
    </row>
    <row r="16">
      <c r="A16" s="21">
        <v>16.0</v>
      </c>
      <c r="B16" s="21" t="s">
        <v>35</v>
      </c>
      <c r="C16" s="21" t="s">
        <v>19</v>
      </c>
      <c r="D16" s="21" t="s">
        <v>20</v>
      </c>
      <c r="E16" s="22">
        <v>1.0</v>
      </c>
    </row>
    <row r="17">
      <c r="A17" s="21">
        <v>17.0</v>
      </c>
      <c r="B17" s="21" t="s">
        <v>36</v>
      </c>
      <c r="C17" s="21" t="s">
        <v>19</v>
      </c>
      <c r="D17" s="21" t="s">
        <v>20</v>
      </c>
      <c r="E17" s="22">
        <v>1.0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  <c r="E21" s="22">
        <v>1.0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  <c r="E23" s="22">
        <v>1.0</v>
      </c>
    </row>
    <row r="24">
      <c r="A24" s="21">
        <v>24.0</v>
      </c>
      <c r="B24" s="21" t="s">
        <v>43</v>
      </c>
      <c r="C24" s="21" t="s">
        <v>38</v>
      </c>
      <c r="D24" s="21" t="s">
        <v>20</v>
      </c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  <c r="E33" s="22">
        <v>1.0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 t="s">
        <v>20</v>
      </c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 t="s">
        <v>20</v>
      </c>
    </row>
    <row r="39">
      <c r="A39" s="21">
        <v>39.0</v>
      </c>
      <c r="B39" s="21" t="s">
        <v>58</v>
      </c>
      <c r="C39" s="21" t="s">
        <v>56</v>
      </c>
      <c r="D39" s="21" t="s">
        <v>20</v>
      </c>
      <c r="E39" s="22">
        <v>1.0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  <c r="E40" s="22">
        <v>1.0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1.0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 t="s">
        <v>20</v>
      </c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 t="s">
        <v>20</v>
      </c>
    </row>
    <row r="52">
      <c r="A52" s="21">
        <v>52.0</v>
      </c>
      <c r="B52" s="21" t="s">
        <v>71</v>
      </c>
      <c r="C52" s="21" t="s">
        <v>56</v>
      </c>
      <c r="D52" s="21" t="s">
        <v>20</v>
      </c>
      <c r="E52" s="22">
        <v>1.0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 t="s">
        <v>20</v>
      </c>
    </row>
    <row r="55">
      <c r="A55" s="21">
        <v>55.0</v>
      </c>
      <c r="B55" s="21" t="s">
        <v>18</v>
      </c>
      <c r="C55" s="21" t="s">
        <v>74</v>
      </c>
      <c r="D55" s="21" t="s">
        <v>20</v>
      </c>
      <c r="E55" s="22">
        <v>1.0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  <c r="E56" s="22">
        <v>1.0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 t="s">
        <v>20</v>
      </c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  <c r="E61" s="22">
        <v>1.0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  <c r="E62" s="22">
        <v>1.0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  <c r="E63" s="22">
        <v>1.0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  <c r="E66" s="22">
        <v>1.0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 t="s">
        <v>20</v>
      </c>
    </row>
    <row r="69">
      <c r="A69" s="21">
        <v>69.0</v>
      </c>
      <c r="B69" s="21" t="s">
        <v>88</v>
      </c>
      <c r="C69" s="21" t="s">
        <v>74</v>
      </c>
      <c r="D69" s="21" t="s">
        <v>20</v>
      </c>
    </row>
    <row r="70">
      <c r="A70" s="21">
        <v>70.0</v>
      </c>
      <c r="B70" s="21" t="s">
        <v>89</v>
      </c>
      <c r="C70" s="21" t="s">
        <v>74</v>
      </c>
      <c r="D70" s="21" t="s">
        <v>20</v>
      </c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2.0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 t="s">
        <v>20</v>
      </c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1.0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  <c r="E84" s="22">
        <v>1.0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  <c r="E91" s="22">
        <v>1.0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  <c r="E94" s="22">
        <v>1.0</v>
      </c>
    </row>
    <row r="95">
      <c r="A95" s="21">
        <v>95.0</v>
      </c>
      <c r="B95" s="21" t="s">
        <v>114</v>
      </c>
      <c r="C95" s="21" t="s">
        <v>110</v>
      </c>
      <c r="D95" s="21" t="s">
        <v>20</v>
      </c>
    </row>
    <row r="96">
      <c r="A96" s="21">
        <v>96.0</v>
      </c>
      <c r="B96" s="21" t="s">
        <v>115</v>
      </c>
      <c r="C96" s="21" t="s">
        <v>110</v>
      </c>
      <c r="D96" s="21" t="s">
        <v>20</v>
      </c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 t="s">
        <v>20</v>
      </c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2.0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  <c r="E104" s="22">
        <v>2.0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2.0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2.0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  <c r="E112" s="22">
        <v>1.0</v>
      </c>
    </row>
    <row r="113">
      <c r="A113" s="21">
        <v>113.0</v>
      </c>
      <c r="B113" s="21" t="s">
        <v>132</v>
      </c>
      <c r="C113" s="21" t="s">
        <v>128</v>
      </c>
      <c r="D113" s="21" t="s">
        <v>20</v>
      </c>
    </row>
    <row r="114">
      <c r="A114" s="21">
        <v>114.0</v>
      </c>
      <c r="B114" s="21" t="s">
        <v>133</v>
      </c>
      <c r="C114" s="21" t="s">
        <v>128</v>
      </c>
      <c r="D114" s="21" t="s">
        <v>20</v>
      </c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 t="s">
        <v>20</v>
      </c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 t="s">
        <v>20</v>
      </c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2.0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  <c r="E126" s="22">
        <v>1.0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 t="s">
        <v>20</v>
      </c>
      <c r="E128" s="22">
        <v>1.0</v>
      </c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 t="s">
        <v>20</v>
      </c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  <c r="E134" s="22">
        <v>1.0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2.0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  <c r="E139" s="22">
        <v>1.0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2.0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 t="s">
        <v>20</v>
      </c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 t="s">
        <v>20</v>
      </c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 t="s">
        <v>20</v>
      </c>
    </row>
    <row r="152">
      <c r="A152" s="21">
        <v>152.0</v>
      </c>
      <c r="B152" s="21" t="s">
        <v>171</v>
      </c>
      <c r="C152" s="21" t="s">
        <v>164</v>
      </c>
      <c r="D152" s="21" t="s">
        <v>20</v>
      </c>
      <c r="E152" s="22">
        <v>1.0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  <c r="E153" s="22">
        <v>1.0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 t="s">
        <v>20</v>
      </c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 t="s">
        <v>20</v>
      </c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 t="s">
        <v>20</v>
      </c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 t="s">
        <v>20</v>
      </c>
      <c r="E164" s="22">
        <v>1.0</v>
      </c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 t="s">
        <v>20</v>
      </c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 t="s">
        <v>20</v>
      </c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  <c r="E173" s="22"/>
    </row>
    <row r="174">
      <c r="A174" s="21">
        <v>174.0</v>
      </c>
      <c r="B174" s="21" t="s">
        <v>193</v>
      </c>
      <c r="C174" s="21" t="s">
        <v>182</v>
      </c>
      <c r="D174" s="21" t="s">
        <v>20</v>
      </c>
      <c r="E174" s="22">
        <v>2.0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  <c r="E176" s="22">
        <v>1.0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 t="s">
        <v>20</v>
      </c>
    </row>
    <row r="179">
      <c r="A179" s="21">
        <v>179.0</v>
      </c>
      <c r="B179" s="21" t="s">
        <v>198</v>
      </c>
      <c r="C179" s="21" t="s">
        <v>182</v>
      </c>
      <c r="D179" s="21" t="s">
        <v>20</v>
      </c>
      <c r="E179" s="22">
        <v>1.0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 t="s">
        <v>20</v>
      </c>
    </row>
    <row r="183">
      <c r="A183" s="21">
        <v>183.0</v>
      </c>
      <c r="B183" s="21" t="s">
        <v>202</v>
      </c>
      <c r="C183" s="21" t="s">
        <v>200</v>
      </c>
      <c r="D183" s="21" t="s">
        <v>20</v>
      </c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 t="s">
        <v>20</v>
      </c>
    </row>
    <row r="187">
      <c r="A187" s="21">
        <v>187.0</v>
      </c>
      <c r="B187" s="21" t="s">
        <v>206</v>
      </c>
      <c r="C187" s="21" t="s">
        <v>200</v>
      </c>
      <c r="D187" s="21" t="s">
        <v>20</v>
      </c>
      <c r="E187" s="22">
        <v>1.0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  <c r="E189" s="22">
        <v>1.0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  <c r="E190" s="22">
        <v>1.0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  <c r="E195" s="22">
        <v>1.0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  <c r="E203" s="22">
        <v>1.0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 t="s">
        <v>20</v>
      </c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  <c r="E211" s="22">
        <v>1.0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  <c r="E212" s="22">
        <v>1.0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 t="s">
        <v>20</v>
      </c>
    </row>
    <row r="215">
      <c r="A215" s="21">
        <v>215.0</v>
      </c>
      <c r="B215" s="21" t="s">
        <v>234</v>
      </c>
      <c r="C215" s="21" t="s">
        <v>218</v>
      </c>
      <c r="D215" s="21" t="s">
        <v>20</v>
      </c>
      <c r="E215" s="22">
        <v>1.0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236</v>
      </c>
      <c r="D217" s="21" t="s">
        <v>20</v>
      </c>
      <c r="E217" s="22">
        <v>1.0</v>
      </c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  <c r="E219" s="22">
        <v>1.0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2.0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 t="s">
        <v>20</v>
      </c>
      <c r="E224" s="22">
        <v>1.0</v>
      </c>
    </row>
    <row r="225">
      <c r="A225" s="21">
        <v>225.0</v>
      </c>
      <c r="B225" s="21" t="s">
        <v>244</v>
      </c>
      <c r="C225" s="21" t="s">
        <v>236</v>
      </c>
      <c r="D225" s="21" t="s">
        <v>20</v>
      </c>
      <c r="E225" s="22">
        <v>1.0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  <c r="E228" s="22">
        <v>1.0</v>
      </c>
    </row>
    <row r="229">
      <c r="A229" s="21">
        <v>229.0</v>
      </c>
      <c r="B229" s="21" t="s">
        <v>248</v>
      </c>
      <c r="C229" s="21" t="s">
        <v>236</v>
      </c>
      <c r="D229" s="21" t="s">
        <v>20</v>
      </c>
    </row>
    <row r="230">
      <c r="A230" s="21">
        <v>230.0</v>
      </c>
      <c r="B230" s="21" t="s">
        <v>249</v>
      </c>
      <c r="C230" s="21" t="s">
        <v>236</v>
      </c>
      <c r="D230" s="21" t="s">
        <v>20</v>
      </c>
      <c r="E230" s="22">
        <v>1.0</v>
      </c>
    </row>
    <row r="231">
      <c r="A231" s="21">
        <v>231.0</v>
      </c>
      <c r="B231" s="21" t="s">
        <v>250</v>
      </c>
      <c r="C231" s="21" t="s">
        <v>236</v>
      </c>
      <c r="D231" s="21" t="s">
        <v>20</v>
      </c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2.0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 t="s">
        <v>20</v>
      </c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 t="s">
        <v>20</v>
      </c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  <c r="E245" s="22">
        <v>1.0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  <c r="E248" s="22">
        <v>2.0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2.0</v>
      </c>
    </row>
    <row r="251">
      <c r="A251" s="21">
        <v>251.0</v>
      </c>
      <c r="B251" s="21" t="s">
        <v>270</v>
      </c>
      <c r="C251" s="21" t="s">
        <v>254</v>
      </c>
      <c r="D251" s="21" t="s">
        <v>20</v>
      </c>
    </row>
    <row r="252">
      <c r="A252" s="21">
        <v>252.0</v>
      </c>
      <c r="B252" s="21" t="s">
        <v>271</v>
      </c>
      <c r="C252" s="21" t="s">
        <v>254</v>
      </c>
      <c r="D252" s="21" t="s">
        <v>20</v>
      </c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2.0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2.0</v>
      </c>
    </row>
    <row r="260">
      <c r="A260" s="21">
        <v>260.0</v>
      </c>
      <c r="B260" s="21" t="s">
        <v>279</v>
      </c>
      <c r="C260" s="21" t="s">
        <v>272</v>
      </c>
      <c r="D260" s="21" t="s">
        <v>20</v>
      </c>
      <c r="E260" s="22">
        <v>1.0</v>
      </c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  <c r="E265" s="22">
        <v>1.0</v>
      </c>
    </row>
    <row r="266">
      <c r="A266" s="21">
        <v>266.0</v>
      </c>
      <c r="B266" s="21" t="s">
        <v>285</v>
      </c>
      <c r="C266" s="21" t="s">
        <v>272</v>
      </c>
      <c r="D266" s="21" t="s">
        <v>20</v>
      </c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 t="s">
        <v>20</v>
      </c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 t="s">
        <v>20</v>
      </c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 t="s">
        <v>20</v>
      </c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  <c r="E281" s="22">
        <v>1.0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  <c r="E282" s="22">
        <v>1.0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 t="s">
        <v>20</v>
      </c>
    </row>
    <row r="286">
      <c r="A286" s="21">
        <v>286.0</v>
      </c>
      <c r="B286" s="21" t="s">
        <v>305</v>
      </c>
      <c r="C286" s="21" t="s">
        <v>290</v>
      </c>
      <c r="D286" s="21" t="s">
        <v>20</v>
      </c>
      <c r="E286" s="22">
        <v>1.0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  <c r="E287" s="22">
        <v>1.0</v>
      </c>
    </row>
    <row r="288">
      <c r="A288" s="21">
        <v>288.0</v>
      </c>
      <c r="B288" s="21" t="s">
        <v>307</v>
      </c>
      <c r="C288" s="21" t="s">
        <v>290</v>
      </c>
      <c r="D288" s="21" t="s">
        <v>20</v>
      </c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  <c r="E290" s="22">
        <v>2.0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  <c r="E292" s="22">
        <v>1.0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 t="s">
        <v>20</v>
      </c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2.0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  <c r="E296" s="22">
        <v>1.0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 t="s">
        <v>20</v>
      </c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  <c r="E302" s="22">
        <v>1.0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  <c r="E312" s="22">
        <v>1.0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2.0</v>
      </c>
    </row>
    <row r="314">
      <c r="A314" s="21">
        <v>314.0</v>
      </c>
      <c r="B314" s="21" t="s">
        <v>333</v>
      </c>
      <c r="C314" s="21" t="s">
        <v>326</v>
      </c>
      <c r="D314" s="21" t="s">
        <v>20</v>
      </c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  <c r="E317" s="22">
        <v>1.0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 t="s">
        <v>20</v>
      </c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3.0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2.0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2.0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  <c r="E326" s="22">
        <v>1.0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  <c r="E327" s="22">
        <v>2.0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2.0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  <c r="E329" s="22">
        <v>1.0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  <c r="E331" s="22">
        <v>2.0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  <c r="E332" s="22">
        <v>1.0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  <c r="E337" s="22">
        <v>1.0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 t="s">
        <v>20</v>
      </c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2.0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  <c r="E344" s="22">
        <v>1.0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 t="s">
        <v>20</v>
      </c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  <c r="E350" s="22">
        <v>2.0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  <c r="E355" s="22">
        <v>2.0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 t="s">
        <v>20</v>
      </c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 t="s">
        <v>20</v>
      </c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  <c r="E1" s="22">
        <v>1.0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  <c r="E3" s="22">
        <v>1.0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 t="s">
        <v>20</v>
      </c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  <c r="E10" s="22">
        <v>1.0</v>
      </c>
    </row>
    <row r="11">
      <c r="A11" s="21">
        <v>181.0</v>
      </c>
      <c r="B11" s="21" t="s">
        <v>380</v>
      </c>
      <c r="C11" s="21" t="s">
        <v>200</v>
      </c>
      <c r="D11" s="21" t="s">
        <v>20</v>
      </c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  <c r="E13" s="22">
        <v>1.0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  <c r="E14" s="22">
        <v>1.0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  <c r="E19" s="22">
        <v>1.0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2.0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2.0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 t="s">
        <v>20</v>
      </c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 t="s">
        <v>20</v>
      </c>
      <c r="E6" s="22">
        <v>1.0</v>
      </c>
    </row>
    <row r="7">
      <c r="A7" s="21">
        <v>367.0</v>
      </c>
      <c r="B7" s="21" t="s">
        <v>128</v>
      </c>
      <c r="C7" s="21" t="s">
        <v>381</v>
      </c>
      <c r="D7" s="21" t="s">
        <v>20</v>
      </c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  <c r="E11" s="22">
        <v>1.0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  <c r="E12" s="22">
        <v>1.0</v>
      </c>
    </row>
    <row r="13">
      <c r="A13" s="21">
        <v>373.0</v>
      </c>
      <c r="B13" s="21" t="s">
        <v>236</v>
      </c>
      <c r="C13" s="21" t="s">
        <v>381</v>
      </c>
      <c r="D13" s="21" t="s">
        <v>20</v>
      </c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 t="s">
        <v>20</v>
      </c>
    </row>
    <row r="16">
      <c r="A16" s="21">
        <v>376.0</v>
      </c>
      <c r="B16" s="21" t="s">
        <v>290</v>
      </c>
      <c r="C16" s="21" t="s">
        <v>381</v>
      </c>
      <c r="D16" s="21" t="s">
        <v>20</v>
      </c>
      <c r="E16" s="22">
        <v>1.0</v>
      </c>
    </row>
    <row r="17">
      <c r="A17" s="21">
        <v>377.0</v>
      </c>
      <c r="B17" s="21" t="s">
        <v>308</v>
      </c>
      <c r="C17" s="21" t="s">
        <v>381</v>
      </c>
      <c r="D17" s="21" t="s">
        <v>20</v>
      </c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 t="s">
        <v>20</v>
      </c>
      <c r="E3" s="22">
        <v>1.0</v>
      </c>
    </row>
    <row r="4">
      <c r="A4" s="21">
        <v>384.0</v>
      </c>
      <c r="B4" s="21" t="s">
        <v>255</v>
      </c>
      <c r="C4" s="21" t="s">
        <v>254</v>
      </c>
      <c r="D4" s="21" t="s">
        <v>20</v>
      </c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3.0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 t="s">
        <v>20</v>
      </c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  <c r="E9" s="22">
        <v>1.0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 t="s">
        <v>20</v>
      </c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  <c r="E3" s="22">
        <v>1.0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 t="s">
        <v>20</v>
      </c>
      <c r="E5" s="22">
        <v>1.0</v>
      </c>
    </row>
    <row r="6">
      <c r="A6" s="21">
        <v>402.0</v>
      </c>
      <c r="B6" s="21" t="s">
        <v>151</v>
      </c>
      <c r="C6" s="21" t="s">
        <v>146</v>
      </c>
      <c r="D6" s="21" t="s">
        <v>20</v>
      </c>
      <c r="E6" s="22">
        <v>1.0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  <c r="E7" s="22">
        <v>1.0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  <c r="E11" s="22">
        <v>1.0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  <c r="E12" s="22">
        <v>1.0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 t="s">
        <v>20</v>
      </c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2.0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 t="s">
        <v>20</v>
      </c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  <c r="E7" s="22">
        <v>1.0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 t="s">
        <v>20</v>
      </c>
    </row>
    <row r="2">
      <c r="A2" s="21">
        <v>425.0</v>
      </c>
      <c r="B2" s="21" t="s">
        <v>34</v>
      </c>
      <c r="C2" s="21" t="s">
        <v>19</v>
      </c>
      <c r="D2" s="21" t="s">
        <v>20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 t="s">
        <v>20</v>
      </c>
    </row>
    <row r="7">
      <c r="A7" s="21">
        <v>430.0</v>
      </c>
      <c r="B7" s="21" t="s">
        <v>197</v>
      </c>
      <c r="C7" s="21" t="s">
        <v>182</v>
      </c>
      <c r="D7" s="21" t="s">
        <v>20</v>
      </c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 t="s">
        <v>20</v>
      </c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 t="s">
        <v>20</v>
      </c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 t="s">
        <v>20</v>
      </c>
    </row>
    <row r="15">
      <c r="A15" s="21">
        <v>438.0</v>
      </c>
      <c r="B15" s="21" t="s">
        <v>338</v>
      </c>
      <c r="C15" s="21" t="s">
        <v>326</v>
      </c>
      <c r="D15" s="21" t="s">
        <v>20</v>
      </c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 t="s">
        <v>20</v>
      </c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 t="s">
        <v>20</v>
      </c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  <row r="12">
      <c r="A12" s="23" t="s">
        <v>398</v>
      </c>
      <c r="B12" s="21" t="s">
        <v>327</v>
      </c>
      <c r="C12" s="21" t="s">
        <v>326</v>
      </c>
      <c r="D12" s="21"/>
    </row>
    <row r="13">
      <c r="A13" s="23" t="s">
        <v>399</v>
      </c>
      <c r="B13" s="21" t="s">
        <v>111</v>
      </c>
      <c r="C13" s="21" t="s">
        <v>400</v>
      </c>
      <c r="D13" s="21"/>
    </row>
    <row r="14">
      <c r="A14" s="23" t="s">
        <v>401</v>
      </c>
      <c r="B14" s="21" t="s">
        <v>222</v>
      </c>
      <c r="C14" s="21" t="s">
        <v>218</v>
      </c>
      <c r="D14" s="21" t="s">
        <v>20</v>
      </c>
      <c r="E14" s="22">
        <v>1.0</v>
      </c>
    </row>
    <row r="15">
      <c r="A15" s="23" t="s">
        <v>402</v>
      </c>
      <c r="B15" s="21" t="s">
        <v>314</v>
      </c>
      <c r="C15" s="21" t="s">
        <v>308</v>
      </c>
      <c r="D15" s="21" t="s">
        <v>20</v>
      </c>
    </row>
    <row r="16">
      <c r="A16" s="23" t="s">
        <v>403</v>
      </c>
      <c r="B16" s="21" t="s">
        <v>404</v>
      </c>
      <c r="C16" s="21" t="s">
        <v>405</v>
      </c>
      <c r="D16" s="21" t="s">
        <v>20</v>
      </c>
      <c r="E16" s="22">
        <v>1.0</v>
      </c>
    </row>
    <row r="17">
      <c r="A17" s="23" t="s">
        <v>406</v>
      </c>
      <c r="B17" s="21" t="s">
        <v>334</v>
      </c>
      <c r="C17" s="21" t="s">
        <v>326</v>
      </c>
      <c r="D17" s="21"/>
    </row>
    <row r="18">
      <c r="A18" s="23" t="s">
        <v>407</v>
      </c>
      <c r="B18" s="21" t="s">
        <v>408</v>
      </c>
      <c r="C18" s="21" t="s">
        <v>405</v>
      </c>
      <c r="D18" s="21" t="s">
        <v>20</v>
      </c>
      <c r="E18" s="22">
        <v>1.0</v>
      </c>
    </row>
    <row r="19">
      <c r="A19" s="23" t="s">
        <v>409</v>
      </c>
      <c r="B19" s="21" t="s">
        <v>410</v>
      </c>
      <c r="C19" s="21" t="s">
        <v>344</v>
      </c>
      <c r="D19" s="21"/>
    </row>
    <row r="20">
      <c r="A20" s="23" t="s">
        <v>411</v>
      </c>
      <c r="B20" s="21" t="s">
        <v>102</v>
      </c>
      <c r="C20" s="21" t="s">
        <v>92</v>
      </c>
      <c r="D20" s="21" t="s">
        <v>20</v>
      </c>
      <c r="E20" s="22">
        <v>1.0</v>
      </c>
    </row>
    <row r="21">
      <c r="A21" s="23" t="s">
        <v>412</v>
      </c>
      <c r="B21" s="21" t="s">
        <v>413</v>
      </c>
      <c r="C21" s="21" t="s">
        <v>218</v>
      </c>
      <c r="D21" s="21" t="s">
        <v>20</v>
      </c>
      <c r="E21" s="22">
        <v>1.0</v>
      </c>
    </row>
    <row r="22">
      <c r="A22" s="23" t="s">
        <v>414</v>
      </c>
      <c r="B22" s="21" t="s">
        <v>68</v>
      </c>
      <c r="C22" s="21" t="s">
        <v>405</v>
      </c>
      <c r="D22" s="21" t="s">
        <v>20</v>
      </c>
      <c r="E22" s="22">
        <v>1.0</v>
      </c>
    </row>
    <row r="23">
      <c r="A23" s="23" t="s">
        <v>415</v>
      </c>
      <c r="B23" s="21" t="s">
        <v>159</v>
      </c>
      <c r="C23" s="21" t="s">
        <v>146</v>
      </c>
      <c r="D23" s="21"/>
    </row>
    <row r="24">
      <c r="A24" s="23" t="s">
        <v>416</v>
      </c>
      <c r="B24" s="21" t="s">
        <v>376</v>
      </c>
      <c r="C24" s="21" t="s">
        <v>417</v>
      </c>
      <c r="D24" s="21"/>
    </row>
    <row r="25">
      <c r="A25" s="23" t="s">
        <v>418</v>
      </c>
      <c r="B25" s="21" t="s">
        <v>91</v>
      </c>
      <c r="C25" s="21" t="s">
        <v>74</v>
      </c>
      <c r="D25" s="21" t="s">
        <v>20</v>
      </c>
    </row>
    <row r="26">
      <c r="A26" s="23" t="s">
        <v>419</v>
      </c>
      <c r="B26" s="21" t="s">
        <v>420</v>
      </c>
      <c r="C26" s="21" t="s">
        <v>417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 t="s">
        <v>20</v>
      </c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 t="s">
        <v>20</v>
      </c>
      <c r="E4" s="22">
        <v>1.0</v>
      </c>
    </row>
    <row r="5">
      <c r="A5" s="21">
        <v>446.0</v>
      </c>
      <c r="B5" s="21" t="s">
        <v>421</v>
      </c>
      <c r="C5" s="21" t="s">
        <v>56</v>
      </c>
      <c r="D5" s="21" t="s">
        <v>20</v>
      </c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  <c r="E7" s="22">
        <v>1.0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 t="s">
        <v>20</v>
      </c>
      <c r="E13" s="22">
        <v>1.0</v>
      </c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 t="s">
        <v>20</v>
      </c>
    </row>
    <row r="19">
      <c r="A19" s="21">
        <v>460.0</v>
      </c>
      <c r="B19" s="21" t="s">
        <v>231</v>
      </c>
      <c r="C19" s="21" t="s">
        <v>218</v>
      </c>
      <c r="D19" s="21" t="s">
        <v>20</v>
      </c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  <c r="E21" s="22">
        <v>1.0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 t="s">
        <v>20</v>
      </c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